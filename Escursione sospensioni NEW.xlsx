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486e5a2c8565d9/Cannondale/"/>
    </mc:Choice>
  </mc:AlternateContent>
  <xr:revisionPtr revIDLastSave="0" documentId="8_{77724E37-3953-0E42-850E-37092360525A}" xr6:coauthVersionLast="47" xr6:coauthVersionMax="47" xr10:uidLastSave="{00000000-0000-0000-0000-000000000000}"/>
  <bookViews>
    <workbookView xWindow="-108" yWindow="-108" windowWidth="23256" windowHeight="13176" xr2:uid="{A5E23117-C9AE-4838-AB79-B581A78BE041}"/>
  </bookViews>
  <sheets>
    <sheet name="120 - 210" sheetId="1" r:id="rId1"/>
    <sheet name="Foglio1" sheetId="2" r:id="rId2"/>
  </sheets>
  <definedNames>
    <definedName name="_xlnm._FilterDatabase" localSheetId="0" hidden="1">'120 - 210'!$A$1:$I$101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F6" i="1"/>
  <c r="G6" i="1"/>
  <c r="E6" i="1"/>
  <c r="C7" i="1"/>
  <c r="F7" i="1"/>
  <c r="G7" i="1"/>
  <c r="E7" i="1"/>
  <c r="C8" i="1"/>
  <c r="F8" i="1"/>
  <c r="G8" i="1"/>
  <c r="E8" i="1"/>
  <c r="C9" i="1"/>
  <c r="E9" i="1"/>
  <c r="F9" i="1"/>
  <c r="G9" i="1"/>
  <c r="C10" i="1"/>
  <c r="F10" i="1"/>
  <c r="G10" i="1"/>
  <c r="E10" i="1"/>
  <c r="C11" i="1"/>
  <c r="E11" i="1"/>
  <c r="F11" i="1"/>
  <c r="G11" i="1"/>
  <c r="C12" i="1"/>
  <c r="F12" i="1"/>
  <c r="G12" i="1"/>
  <c r="E12" i="1"/>
  <c r="C13" i="1"/>
  <c r="F13" i="1"/>
  <c r="G13" i="1"/>
  <c r="E13" i="1"/>
  <c r="C14" i="1"/>
  <c r="E14" i="1"/>
  <c r="C15" i="1"/>
  <c r="F15" i="1"/>
  <c r="G15" i="1"/>
  <c r="E15" i="1"/>
  <c r="C16" i="1"/>
  <c r="E16" i="1"/>
  <c r="F16" i="1"/>
  <c r="G16" i="1"/>
  <c r="C17" i="1"/>
  <c r="F17" i="1"/>
  <c r="G17" i="1"/>
  <c r="E17" i="1"/>
  <c r="C18" i="1"/>
  <c r="F18" i="1"/>
  <c r="G18" i="1"/>
  <c r="E18" i="1"/>
  <c r="C19" i="1"/>
  <c r="F19" i="1"/>
  <c r="G19" i="1"/>
  <c r="E19" i="1"/>
  <c r="C20" i="1"/>
  <c r="F20" i="1"/>
  <c r="G20" i="1"/>
  <c r="E20" i="1"/>
  <c r="C21" i="1"/>
  <c r="F21" i="1"/>
  <c r="G21" i="1"/>
  <c r="E21" i="1"/>
  <c r="C22" i="1"/>
  <c r="E22" i="1"/>
  <c r="F22" i="1"/>
  <c r="G22" i="1"/>
  <c r="C23" i="1"/>
  <c r="F23" i="1"/>
  <c r="G23" i="1"/>
  <c r="E23" i="1"/>
  <c r="C24" i="1"/>
  <c r="F24" i="1"/>
  <c r="G24" i="1"/>
  <c r="E24" i="1"/>
  <c r="C25" i="1"/>
  <c r="F25" i="1"/>
  <c r="G25" i="1"/>
  <c r="E25" i="1"/>
  <c r="C26" i="1"/>
  <c r="E26" i="1"/>
  <c r="F26" i="1"/>
  <c r="G26" i="1"/>
  <c r="C27" i="1"/>
  <c r="F27" i="1"/>
  <c r="G27" i="1"/>
  <c r="E27" i="1"/>
  <c r="C28" i="1"/>
  <c r="E28" i="1"/>
  <c r="F28" i="1"/>
  <c r="G28" i="1"/>
  <c r="C29" i="1"/>
  <c r="F29" i="1"/>
  <c r="G29" i="1"/>
  <c r="E29" i="1"/>
  <c r="C30" i="1"/>
  <c r="E30" i="1"/>
  <c r="F30" i="1"/>
  <c r="G30" i="1"/>
  <c r="C31" i="1"/>
  <c r="F31" i="1"/>
  <c r="G31" i="1"/>
  <c r="E31" i="1"/>
  <c r="C32" i="1"/>
  <c r="E32" i="1"/>
  <c r="F32" i="1"/>
  <c r="G32" i="1"/>
  <c r="C33" i="1"/>
  <c r="F33" i="1"/>
  <c r="G33" i="1"/>
  <c r="E33" i="1"/>
  <c r="C34" i="1"/>
  <c r="F34" i="1"/>
  <c r="G34" i="1"/>
  <c r="E34" i="1"/>
  <c r="C35" i="1"/>
  <c r="E35" i="1"/>
  <c r="F35" i="1"/>
  <c r="G35" i="1"/>
  <c r="C36" i="1"/>
  <c r="F36" i="1"/>
  <c r="G36" i="1"/>
  <c r="E36" i="1"/>
  <c r="C37" i="1"/>
  <c r="E37" i="1"/>
  <c r="C38" i="1"/>
  <c r="E38" i="1"/>
  <c r="F38" i="1"/>
  <c r="G38" i="1"/>
  <c r="C39" i="1"/>
  <c r="F39" i="1"/>
  <c r="G39" i="1"/>
  <c r="E39" i="1"/>
  <c r="C40" i="1"/>
  <c r="F40" i="1"/>
  <c r="G40" i="1"/>
  <c r="E40" i="1"/>
  <c r="C41" i="1"/>
  <c r="F41" i="1"/>
  <c r="G41" i="1"/>
  <c r="E41" i="1"/>
  <c r="C42" i="1"/>
  <c r="F42" i="1"/>
  <c r="G42" i="1"/>
  <c r="E42" i="1"/>
  <c r="C43" i="1"/>
  <c r="E43" i="1"/>
  <c r="F43" i="1"/>
  <c r="G43" i="1"/>
  <c r="C44" i="1"/>
  <c r="F44" i="1"/>
  <c r="G44" i="1"/>
  <c r="E44" i="1"/>
  <c r="C45" i="1"/>
  <c r="E45" i="1"/>
  <c r="F45" i="1"/>
  <c r="G45" i="1"/>
  <c r="C46" i="1"/>
  <c r="E46" i="1"/>
  <c r="C47" i="1"/>
  <c r="E47" i="1"/>
  <c r="C48" i="1"/>
  <c r="F48" i="1"/>
  <c r="G48" i="1"/>
  <c r="E48" i="1"/>
  <c r="C49" i="1"/>
  <c r="E49" i="1"/>
  <c r="C50" i="1"/>
  <c r="F50" i="1"/>
  <c r="G50" i="1"/>
  <c r="E50" i="1"/>
  <c r="C51" i="1"/>
  <c r="E51" i="1"/>
  <c r="F51" i="1"/>
  <c r="G51" i="1"/>
  <c r="C52" i="1"/>
  <c r="F52" i="1"/>
  <c r="G52" i="1"/>
  <c r="E52" i="1"/>
  <c r="C53" i="1"/>
  <c r="F53" i="1"/>
  <c r="G53" i="1"/>
  <c r="E53" i="1"/>
  <c r="C54" i="1"/>
  <c r="F54" i="1"/>
  <c r="G54" i="1"/>
  <c r="E54" i="1"/>
  <c r="C55" i="1"/>
  <c r="E55" i="1"/>
  <c r="F55" i="1"/>
  <c r="G55" i="1"/>
  <c r="C56" i="1"/>
  <c r="F56" i="1"/>
  <c r="G56" i="1"/>
  <c r="E56" i="1"/>
  <c r="C57" i="1"/>
  <c r="E57" i="1"/>
  <c r="F57" i="1"/>
  <c r="G57" i="1"/>
  <c r="C58" i="1"/>
  <c r="F58" i="1"/>
  <c r="G58" i="1"/>
  <c r="E58" i="1"/>
  <c r="C59" i="1"/>
  <c r="E59" i="1"/>
  <c r="F59" i="1"/>
  <c r="G59" i="1"/>
  <c r="C60" i="1"/>
  <c r="F60" i="1"/>
  <c r="G60" i="1"/>
  <c r="E60" i="1"/>
  <c r="C61" i="1"/>
  <c r="E61" i="1"/>
  <c r="C62" i="1"/>
  <c r="E62" i="1"/>
  <c r="F62" i="1"/>
  <c r="G62" i="1"/>
  <c r="C63" i="1"/>
  <c r="F63" i="1"/>
  <c r="G63" i="1"/>
  <c r="E63" i="1"/>
  <c r="C64" i="1"/>
  <c r="F64" i="1"/>
  <c r="G64" i="1"/>
  <c r="E64" i="1"/>
  <c r="C65" i="1"/>
  <c r="F65" i="1"/>
  <c r="G65" i="1"/>
  <c r="E65" i="1"/>
  <c r="C66" i="1"/>
  <c r="F66" i="1"/>
  <c r="G66" i="1"/>
  <c r="E66" i="1"/>
  <c r="C67" i="1"/>
  <c r="F67" i="1"/>
  <c r="G67" i="1"/>
  <c r="E67" i="1"/>
  <c r="C68" i="1"/>
  <c r="E68" i="1"/>
  <c r="F68" i="1"/>
  <c r="G68" i="1"/>
  <c r="C69" i="1"/>
  <c r="F69" i="1"/>
  <c r="G69" i="1"/>
  <c r="E69" i="1"/>
  <c r="C70" i="1"/>
  <c r="F70" i="1"/>
  <c r="G70" i="1"/>
  <c r="E70" i="1"/>
  <c r="C71" i="1"/>
  <c r="F71" i="1"/>
  <c r="G71" i="1"/>
  <c r="E71" i="1"/>
  <c r="C72" i="1"/>
  <c r="F72" i="1"/>
  <c r="G72" i="1"/>
  <c r="E72" i="1"/>
  <c r="C73" i="1"/>
  <c r="E73" i="1"/>
  <c r="F73" i="1"/>
  <c r="G73" i="1"/>
  <c r="C74" i="1"/>
  <c r="F74" i="1"/>
  <c r="G74" i="1"/>
  <c r="E74" i="1"/>
  <c r="C75" i="1"/>
  <c r="F75" i="1"/>
  <c r="G75" i="1"/>
  <c r="E75" i="1"/>
  <c r="C76" i="1"/>
  <c r="F76" i="1"/>
  <c r="G76" i="1"/>
  <c r="E76" i="1"/>
  <c r="C77" i="1"/>
  <c r="F77" i="1"/>
  <c r="G77" i="1"/>
  <c r="E77" i="1"/>
  <c r="C78" i="1"/>
  <c r="E78" i="1"/>
  <c r="F78" i="1"/>
  <c r="G78" i="1"/>
  <c r="C79" i="1"/>
  <c r="F79" i="1"/>
  <c r="G79" i="1"/>
  <c r="E79" i="1"/>
  <c r="C80" i="1"/>
  <c r="E80" i="1"/>
  <c r="C81" i="1"/>
  <c r="F81" i="1"/>
  <c r="G81" i="1"/>
  <c r="E81" i="1"/>
  <c r="C82" i="1"/>
  <c r="E82" i="1"/>
  <c r="C83" i="1"/>
  <c r="F83" i="1"/>
  <c r="G83" i="1"/>
  <c r="E83" i="1"/>
  <c r="C84" i="1"/>
  <c r="F84" i="1"/>
  <c r="G84" i="1"/>
  <c r="E84" i="1"/>
  <c r="C85" i="1"/>
  <c r="E85" i="1"/>
  <c r="F85" i="1"/>
  <c r="G85" i="1"/>
  <c r="C86" i="1"/>
  <c r="F86" i="1"/>
  <c r="G86" i="1"/>
  <c r="E86" i="1"/>
  <c r="C87" i="1"/>
  <c r="E87" i="1"/>
  <c r="F87" i="1"/>
  <c r="G87" i="1"/>
  <c r="C88" i="1"/>
  <c r="F88" i="1"/>
  <c r="G88" i="1"/>
  <c r="E88" i="1"/>
  <c r="C89" i="1"/>
  <c r="E89" i="1"/>
  <c r="F89" i="1"/>
  <c r="G89" i="1"/>
  <c r="C90" i="1"/>
  <c r="F90" i="1"/>
  <c r="G90" i="1"/>
  <c r="E90" i="1"/>
  <c r="C91" i="1"/>
  <c r="F91" i="1"/>
  <c r="G91" i="1"/>
  <c r="E91" i="1"/>
  <c r="C92" i="1"/>
  <c r="F92" i="1"/>
  <c r="G92" i="1"/>
  <c r="E92" i="1"/>
  <c r="C93" i="1"/>
  <c r="F93" i="1"/>
  <c r="G93" i="1"/>
  <c r="E93" i="1"/>
  <c r="C94" i="1"/>
  <c r="F94" i="1"/>
  <c r="G94" i="1"/>
  <c r="E94" i="1"/>
  <c r="C95" i="1"/>
  <c r="F95" i="1"/>
  <c r="G95" i="1"/>
  <c r="E95" i="1"/>
  <c r="C96" i="1"/>
  <c r="F96" i="1"/>
  <c r="G96" i="1"/>
  <c r="E96" i="1"/>
  <c r="C97" i="1"/>
  <c r="F97" i="1"/>
  <c r="G97" i="1"/>
  <c r="E97" i="1"/>
  <c r="C98" i="1"/>
  <c r="F98" i="1"/>
  <c r="G98" i="1"/>
  <c r="E98" i="1"/>
  <c r="C99" i="1"/>
  <c r="F99" i="1"/>
  <c r="G99" i="1"/>
  <c r="E99" i="1"/>
  <c r="C100" i="1"/>
  <c r="F100" i="1"/>
  <c r="G100" i="1"/>
  <c r="E100" i="1"/>
  <c r="C101" i="1"/>
  <c r="F101" i="1"/>
  <c r="G101" i="1"/>
  <c r="E101" i="1"/>
  <c r="E3" i="1"/>
  <c r="C3" i="1"/>
  <c r="F3" i="1"/>
  <c r="G3" i="1"/>
  <c r="E4" i="1"/>
  <c r="E5" i="1"/>
  <c r="C4" i="1"/>
  <c r="F4" i="1"/>
  <c r="G4" i="1"/>
  <c r="C5" i="1"/>
  <c r="F5" i="1"/>
  <c r="G5" i="1"/>
  <c r="E2" i="1"/>
  <c r="C2" i="1"/>
  <c r="F2" i="1"/>
  <c r="G2" i="1"/>
  <c r="F47" i="1"/>
  <c r="G47" i="1"/>
  <c r="F49" i="1"/>
  <c r="G49" i="1"/>
  <c r="F14" i="1"/>
  <c r="G14" i="1"/>
  <c r="F80" i="1"/>
  <c r="G80" i="1"/>
  <c r="F37" i="1"/>
  <c r="G37" i="1"/>
  <c r="F82" i="1"/>
  <c r="G82" i="1"/>
  <c r="F61" i="1"/>
  <c r="G61" i="1"/>
  <c r="F46" i="1"/>
  <c r="G46" i="1"/>
</calcChain>
</file>

<file path=xl/sharedStrings.xml><?xml version="1.0" encoding="utf-8"?>
<sst xmlns="http://schemas.openxmlformats.org/spreadsheetml/2006/main" count="65" uniqueCount="21">
  <si>
    <t>%</t>
  </si>
  <si>
    <t>ANT</t>
  </si>
  <si>
    <t>POST</t>
  </si>
  <si>
    <t>MM</t>
  </si>
  <si>
    <t>PSI - A</t>
  </si>
  <si>
    <t>PSI - P</t>
  </si>
  <si>
    <t>Sterrato</t>
  </si>
  <si>
    <t>Asfalto</t>
  </si>
  <si>
    <t>Tipo</t>
  </si>
  <si>
    <t>Pietraia</t>
  </si>
  <si>
    <t>Tipo percorso</t>
  </si>
  <si>
    <t>Bilanciato</t>
  </si>
  <si>
    <t>Delta</t>
  </si>
  <si>
    <t>Sterrato Soft</t>
  </si>
  <si>
    <t>Gara</t>
  </si>
  <si>
    <t>Gara fango</t>
  </si>
  <si>
    <t>PSI</t>
  </si>
  <si>
    <t>Escursione Ant</t>
  </si>
  <si>
    <t>Escursione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</si>
</sst>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Protection="1">
      <protection locked="0"/>
    </xf>
    <xf numFmtId="0" fontId="0" fillId="3" borderId="0" xfId="0" applyFill="1" applyProtection="1">
      <protection locked="0"/>
    </xf>
    <xf numFmtId="10" fontId="0" fillId="4" borderId="0" xfId="0" applyNumberFormat="1" applyFill="1"/>
    <xf numFmtId="0" fontId="0" fillId="0" borderId="0" xfId="0" applyProtection="1">
      <protection locked="0"/>
    </xf>
    <xf numFmtId="0" fontId="1" fillId="2" borderId="0" xfId="0" applyFont="1" applyFill="1" applyAlignment="1" applyProtection="1">
      <alignment wrapText="1"/>
      <protection locked="0"/>
    </xf>
    <xf numFmtId="0" fontId="0" fillId="5" borderId="0" xfId="0" applyFill="1" applyProtection="1">
      <protection locked="0"/>
    </xf>
    <xf numFmtId="2" fontId="0" fillId="3" borderId="0" xfId="0" applyNumberFormat="1" applyFill="1" applyProtection="1">
      <protection locked="0"/>
    </xf>
    <xf numFmtId="9" fontId="0" fillId="4" borderId="0" xfId="0" applyNumberFormat="1" applyFill="1"/>
    <xf numFmtId="9" fontId="0" fillId="0" borderId="0" xfId="0" applyNumberFormat="1"/>
  </cellXfs>
  <cellStyles count="1">
    <cellStyle name="Normale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FBCB-6BD7-4A9C-9742-DC8032ED773B}">
  <dimension ref="A1:J101"/>
  <sheetViews>
    <sheetView tabSelected="1" workbookViewId="0">
      <pane ySplit="1" topLeftCell="A2" activePane="bottomLeft" state="frozen"/>
      <selection activeCell="B1" sqref="B1"/>
      <selection pane="bottomLeft" activeCell="K2" sqref="K2"/>
    </sheetView>
  </sheetViews>
  <sheetFormatPr defaultRowHeight="15" x14ac:dyDescent="0.2"/>
  <cols>
    <col min="1" max="1" width="9.68359375" customWidth="1"/>
    <col min="2" max="2" width="14.796875" customWidth="1"/>
    <col min="3" max="3" width="5.37890625" bestFit="1" customWidth="1"/>
    <col min="4" max="4" width="13.71875" customWidth="1"/>
    <col min="5" max="5" width="5.37890625" bestFit="1" customWidth="1"/>
    <col min="6" max="6" width="7.80078125" bestFit="1" customWidth="1"/>
    <col min="7" max="7" width="9.4140625" bestFit="1" customWidth="1"/>
    <col min="8" max="9" width="6.1875" bestFit="1" customWidth="1"/>
    <col min="10" max="10" width="4.03515625" bestFit="1" customWidth="1"/>
  </cols>
  <sheetData>
    <row r="1" spans="1:10" ht="27.75" x14ac:dyDescent="0.2">
      <c r="A1" s="5" t="s">
        <v>10</v>
      </c>
      <c r="B1" s="1" t="s">
        <v>17</v>
      </c>
      <c r="C1" s="1" t="s">
        <v>0</v>
      </c>
      <c r="D1" s="1" t="s">
        <v>18</v>
      </c>
      <c r="E1" s="1" t="s">
        <v>0</v>
      </c>
      <c r="F1" s="1" t="s">
        <v>12</v>
      </c>
      <c r="G1" s="1" t="s">
        <v>11</v>
      </c>
      <c r="H1" s="1" t="s">
        <v>4</v>
      </c>
      <c r="I1" s="1" t="s">
        <v>5</v>
      </c>
      <c r="J1" s="1"/>
    </row>
    <row r="2" spans="1:10" x14ac:dyDescent="0.2">
      <c r="A2" s="2" t="s">
        <v>6</v>
      </c>
      <c r="B2" s="7">
        <v>75</v>
      </c>
      <c r="C2" s="8">
        <f>B2/Foglio1!$B$2</f>
        <v>0.75</v>
      </c>
      <c r="D2" s="7">
        <v>30</v>
      </c>
      <c r="E2" s="8">
        <f>D2/Foglio1!$B$3</f>
        <v>0.75</v>
      </c>
      <c r="F2" s="9">
        <f>C2-E2</f>
        <v>0</v>
      </c>
      <c r="G2" s="3" t="str">
        <f t="shared" ref="G2" si="0">IF(F2&lt;0,"ANT",IF(F2=0,"OK",IF(F2&gt;0,"POST")))</f>
        <v>OK</v>
      </c>
      <c r="H2" s="4">
        <v>120</v>
      </c>
      <c r="I2" s="4">
        <v>200</v>
      </c>
    </row>
    <row r="3" spans="1:10" x14ac:dyDescent="0.2">
      <c r="A3" s="2" t="s">
        <v>7</v>
      </c>
      <c r="B3" s="7">
        <v>58</v>
      </c>
      <c r="C3" s="8">
        <f>B3/Foglio1!$B$2</f>
        <v>0.57999999999999996</v>
      </c>
      <c r="D3" s="7">
        <v>16</v>
      </c>
      <c r="E3" s="8">
        <f>D3/Foglio1!$B$3</f>
        <v>0.4</v>
      </c>
      <c r="F3" s="9">
        <f t="shared" ref="F3:F5" si="1">C3-E3</f>
        <v>0.17999999999999994</v>
      </c>
      <c r="G3" s="3" t="str">
        <f>IF(F3&lt;0,"POST",IF(F3=0,"OK",IF(F3&gt;0,"ANT")))</f>
        <v>ANT</v>
      </c>
      <c r="H3" s="4">
        <v>120</v>
      </c>
      <c r="I3" s="4">
        <v>200</v>
      </c>
    </row>
    <row r="4" spans="1:10" x14ac:dyDescent="0.2">
      <c r="A4" s="2" t="s">
        <v>7</v>
      </c>
      <c r="B4" s="7">
        <v>63</v>
      </c>
      <c r="C4" s="8">
        <f>B4/Foglio1!$B$2</f>
        <v>0.63</v>
      </c>
      <c r="D4" s="7">
        <v>23</v>
      </c>
      <c r="E4" s="8">
        <f>D4/Foglio1!$B$3</f>
        <v>0.57499999999999996</v>
      </c>
      <c r="F4" s="9">
        <f t="shared" si="1"/>
        <v>5.5000000000000049E-2</v>
      </c>
      <c r="G4" s="3" t="str">
        <f t="shared" ref="G4:G67" si="2">IF(F4&lt;0,"POST",IF(F4=0,"OK",IF(F4&gt;0,"ANT")))</f>
        <v>ANT</v>
      </c>
      <c r="H4" s="4">
        <v>120</v>
      </c>
      <c r="I4" s="4">
        <v>200</v>
      </c>
    </row>
    <row r="5" spans="1:10" x14ac:dyDescent="0.2">
      <c r="A5" s="2" t="s">
        <v>7</v>
      </c>
      <c r="B5" s="7">
        <v>50</v>
      </c>
      <c r="C5" s="8">
        <f>B5/Foglio1!$B$2</f>
        <v>0.5</v>
      </c>
      <c r="D5" s="7">
        <v>23</v>
      </c>
      <c r="E5" s="8">
        <f>D5/Foglio1!$B$3</f>
        <v>0.57499999999999996</v>
      </c>
      <c r="F5" s="9">
        <f t="shared" si="1"/>
        <v>-7.4999999999999956E-2</v>
      </c>
      <c r="G5" s="3" t="str">
        <f t="shared" si="2"/>
        <v>POST</v>
      </c>
      <c r="H5" s="4">
        <v>120</v>
      </c>
      <c r="I5" s="4">
        <v>190</v>
      </c>
    </row>
    <row r="6" spans="1:10" x14ac:dyDescent="0.2">
      <c r="A6" s="2" t="s">
        <v>6</v>
      </c>
      <c r="B6" s="7">
        <v>70</v>
      </c>
      <c r="C6" s="8">
        <f>B6/Foglio1!$B$2</f>
        <v>0.7</v>
      </c>
      <c r="D6" s="7">
        <v>32</v>
      </c>
      <c r="E6" s="8">
        <f>D6/Foglio1!$B$3</f>
        <v>0.8</v>
      </c>
      <c r="F6" s="9">
        <f t="shared" ref="F6:F37" si="3">C6-E6</f>
        <v>-0.10000000000000009</v>
      </c>
      <c r="G6" s="3" t="str">
        <f t="shared" si="2"/>
        <v>POST</v>
      </c>
      <c r="H6" s="4">
        <v>120</v>
      </c>
      <c r="I6" s="4">
        <v>190</v>
      </c>
    </row>
    <row r="7" spans="1:10" x14ac:dyDescent="0.2">
      <c r="A7" s="2" t="s">
        <v>7</v>
      </c>
      <c r="B7" s="7">
        <v>67</v>
      </c>
      <c r="C7" s="8">
        <f>B7/Foglio1!$B$2</f>
        <v>0.67</v>
      </c>
      <c r="D7" s="7">
        <v>23</v>
      </c>
      <c r="E7" s="8">
        <f>D7/Foglio1!$B$3</f>
        <v>0.57499999999999996</v>
      </c>
      <c r="F7" s="9">
        <f t="shared" si="3"/>
        <v>9.5000000000000084E-2</v>
      </c>
      <c r="G7" s="3" t="str">
        <f t="shared" si="2"/>
        <v>ANT</v>
      </c>
      <c r="H7" s="4">
        <v>120</v>
      </c>
      <c r="I7" s="4">
        <v>190</v>
      </c>
    </row>
    <row r="8" spans="1:10" x14ac:dyDescent="0.2">
      <c r="A8" s="2" t="s">
        <v>6</v>
      </c>
      <c r="B8" s="7">
        <v>84</v>
      </c>
      <c r="C8" s="8">
        <f>B8/Foglio1!$B$2</f>
        <v>0.84</v>
      </c>
      <c r="D8" s="7">
        <v>27</v>
      </c>
      <c r="E8" s="8">
        <f>D8/Foglio1!$B$3</f>
        <v>0.67500000000000004</v>
      </c>
      <c r="F8" s="9">
        <f t="shared" si="3"/>
        <v>0.16499999999999992</v>
      </c>
      <c r="G8" s="3" t="str">
        <f t="shared" si="2"/>
        <v>ANT</v>
      </c>
      <c r="H8" s="4">
        <v>120</v>
      </c>
      <c r="I8" s="4">
        <v>210</v>
      </c>
    </row>
    <row r="9" spans="1:10" x14ac:dyDescent="0.2">
      <c r="A9" s="2" t="s">
        <v>6</v>
      </c>
      <c r="B9" s="7">
        <v>75</v>
      </c>
      <c r="C9" s="8">
        <f>B9/Foglio1!$B$2</f>
        <v>0.75</v>
      </c>
      <c r="D9" s="7">
        <v>26</v>
      </c>
      <c r="E9" s="8">
        <f>D9/Foglio1!$B$3</f>
        <v>0.65</v>
      </c>
      <c r="F9" s="9">
        <f t="shared" si="3"/>
        <v>9.9999999999999978E-2</v>
      </c>
      <c r="G9" s="3" t="str">
        <f t="shared" si="2"/>
        <v>ANT</v>
      </c>
      <c r="H9" s="4">
        <v>120</v>
      </c>
      <c r="I9" s="4">
        <v>210</v>
      </c>
    </row>
    <row r="10" spans="1:10" x14ac:dyDescent="0.2">
      <c r="A10" s="2" t="s">
        <v>13</v>
      </c>
      <c r="B10" s="7">
        <v>59</v>
      </c>
      <c r="C10" s="8">
        <f>B10/Foglio1!$B$2</f>
        <v>0.59</v>
      </c>
      <c r="D10" s="7">
        <v>27</v>
      </c>
      <c r="E10" s="8">
        <f>D10/Foglio1!$B$3</f>
        <v>0.67500000000000004</v>
      </c>
      <c r="F10" s="9">
        <f t="shared" si="3"/>
        <v>-8.5000000000000075E-2</v>
      </c>
      <c r="G10" s="3" t="str">
        <f t="shared" si="2"/>
        <v>POST</v>
      </c>
      <c r="H10" s="4">
        <v>120</v>
      </c>
      <c r="I10" s="4">
        <v>210</v>
      </c>
    </row>
    <row r="11" spans="1:10" x14ac:dyDescent="0.2">
      <c r="A11" s="2" t="s">
        <v>6</v>
      </c>
      <c r="B11" s="7">
        <v>78</v>
      </c>
      <c r="C11" s="8">
        <f>B11/Foglio1!$B$2</f>
        <v>0.78</v>
      </c>
      <c r="D11" s="7">
        <v>28</v>
      </c>
      <c r="E11" s="8">
        <f>D11/Foglio1!$B$3</f>
        <v>0.7</v>
      </c>
      <c r="F11" s="9">
        <f t="shared" si="3"/>
        <v>8.0000000000000071E-2</v>
      </c>
      <c r="G11" s="3" t="str">
        <f t="shared" si="2"/>
        <v>ANT</v>
      </c>
      <c r="H11" s="4">
        <v>120</v>
      </c>
      <c r="I11" s="4">
        <v>210</v>
      </c>
    </row>
    <row r="12" spans="1:10" x14ac:dyDescent="0.2">
      <c r="A12" s="2" t="s">
        <v>6</v>
      </c>
      <c r="B12" s="7">
        <v>80</v>
      </c>
      <c r="C12" s="8">
        <f>B12/Foglio1!$B$2</f>
        <v>0.8</v>
      </c>
      <c r="D12" s="7">
        <v>27</v>
      </c>
      <c r="E12" s="8">
        <f>D12/Foglio1!$B$3</f>
        <v>0.67500000000000004</v>
      </c>
      <c r="F12" s="9">
        <f t="shared" si="3"/>
        <v>0.125</v>
      </c>
      <c r="G12" s="3" t="str">
        <f t="shared" si="2"/>
        <v>ANT</v>
      </c>
      <c r="H12" s="4">
        <v>120</v>
      </c>
      <c r="I12" s="4">
        <v>210</v>
      </c>
    </row>
    <row r="13" spans="1:10" x14ac:dyDescent="0.2">
      <c r="A13" s="2" t="s">
        <v>7</v>
      </c>
      <c r="B13" s="7">
        <v>55</v>
      </c>
      <c r="C13" s="8">
        <f>B13/Foglio1!$B$2</f>
        <v>0.55000000000000004</v>
      </c>
      <c r="D13" s="7">
        <v>22</v>
      </c>
      <c r="E13" s="8">
        <f>D13/Foglio1!$B$3</f>
        <v>0.55000000000000004</v>
      </c>
      <c r="F13" s="9">
        <f t="shared" si="3"/>
        <v>0</v>
      </c>
      <c r="G13" s="3" t="str">
        <f t="shared" si="2"/>
        <v>OK</v>
      </c>
      <c r="H13" s="4">
        <v>100</v>
      </c>
      <c r="I13" s="4">
        <v>210</v>
      </c>
    </row>
    <row r="14" spans="1:10" x14ac:dyDescent="0.2">
      <c r="A14" s="2" t="s">
        <v>15</v>
      </c>
      <c r="B14" s="7">
        <v>87</v>
      </c>
      <c r="C14" s="8">
        <f>B14/Foglio1!$B$2</f>
        <v>0.87</v>
      </c>
      <c r="D14" s="7">
        <v>29</v>
      </c>
      <c r="E14" s="8">
        <f>D14/Foglio1!$B$3</f>
        <v>0.72499999999999998</v>
      </c>
      <c r="F14" s="9">
        <f t="shared" si="3"/>
        <v>0.14500000000000002</v>
      </c>
      <c r="G14" s="3" t="str">
        <f t="shared" si="2"/>
        <v>ANT</v>
      </c>
      <c r="H14" s="4">
        <v>100</v>
      </c>
      <c r="I14" s="4">
        <v>200</v>
      </c>
    </row>
    <row r="15" spans="1:10" x14ac:dyDescent="0.2">
      <c r="A15" s="2" t="s">
        <v>7</v>
      </c>
      <c r="B15" s="7">
        <v>63</v>
      </c>
      <c r="C15" s="8">
        <f>B15/Foglio1!$B$2</f>
        <v>0.63</v>
      </c>
      <c r="D15" s="7">
        <v>21</v>
      </c>
      <c r="E15" s="8">
        <f>D15/Foglio1!$B$3</f>
        <v>0.52500000000000002</v>
      </c>
      <c r="F15" s="9">
        <f t="shared" si="3"/>
        <v>0.10499999999999998</v>
      </c>
      <c r="G15" s="3" t="str">
        <f t="shared" si="2"/>
        <v>ANT</v>
      </c>
      <c r="H15" s="4">
        <v>100</v>
      </c>
      <c r="I15" s="4">
        <v>200</v>
      </c>
    </row>
    <row r="16" spans="1:10" x14ac:dyDescent="0.2">
      <c r="A16" s="2" t="s">
        <v>6</v>
      </c>
      <c r="B16" s="7">
        <v>87</v>
      </c>
      <c r="C16" s="8">
        <f>B16/Foglio1!$B$2</f>
        <v>0.87</v>
      </c>
      <c r="D16" s="7">
        <v>29</v>
      </c>
      <c r="E16" s="8">
        <f>D16/Foglio1!$B$3</f>
        <v>0.72499999999999998</v>
      </c>
      <c r="F16" s="9">
        <f t="shared" si="3"/>
        <v>0.14500000000000002</v>
      </c>
      <c r="G16" s="3" t="str">
        <f t="shared" si="2"/>
        <v>ANT</v>
      </c>
      <c r="H16" s="4">
        <v>100</v>
      </c>
      <c r="I16" s="4">
        <v>200</v>
      </c>
    </row>
    <row r="17" spans="1:9" x14ac:dyDescent="0.2">
      <c r="A17" s="2" t="s">
        <v>9</v>
      </c>
      <c r="B17" s="7">
        <v>93</v>
      </c>
      <c r="C17" s="8">
        <f>B17/Foglio1!$B$2</f>
        <v>0.93</v>
      </c>
      <c r="D17" s="7">
        <v>30</v>
      </c>
      <c r="E17" s="8">
        <f>D17/Foglio1!$B$3</f>
        <v>0.75</v>
      </c>
      <c r="F17" s="9">
        <f t="shared" si="3"/>
        <v>0.18000000000000005</v>
      </c>
      <c r="G17" s="3" t="str">
        <f t="shared" si="2"/>
        <v>ANT</v>
      </c>
      <c r="H17" s="4">
        <v>100</v>
      </c>
      <c r="I17" s="4">
        <v>200</v>
      </c>
    </row>
    <row r="18" spans="1:9" x14ac:dyDescent="0.2">
      <c r="A18" s="2" t="s">
        <v>9</v>
      </c>
      <c r="B18" s="7">
        <v>84</v>
      </c>
      <c r="C18" s="8">
        <f>B18/Foglio1!$B$2</f>
        <v>0.84</v>
      </c>
      <c r="D18" s="7">
        <v>29</v>
      </c>
      <c r="E18" s="8">
        <f>D18/Foglio1!$B$3</f>
        <v>0.72499999999999998</v>
      </c>
      <c r="F18" s="9">
        <f t="shared" si="3"/>
        <v>0.11499999999999999</v>
      </c>
      <c r="G18" s="3" t="str">
        <f t="shared" si="2"/>
        <v>ANT</v>
      </c>
      <c r="H18" s="4">
        <v>100</v>
      </c>
      <c r="I18" s="4">
        <v>180</v>
      </c>
    </row>
    <row r="19" spans="1:9" x14ac:dyDescent="0.2">
      <c r="A19" s="2" t="s">
        <v>13</v>
      </c>
      <c r="B19" s="7">
        <v>79</v>
      </c>
      <c r="C19" s="8">
        <f>B19/Foglio1!$B$2</f>
        <v>0.79</v>
      </c>
      <c r="D19" s="7">
        <v>29</v>
      </c>
      <c r="E19" s="8">
        <f>D19/Foglio1!$B$3</f>
        <v>0.72499999999999998</v>
      </c>
      <c r="F19" s="9">
        <f t="shared" si="3"/>
        <v>6.5000000000000058E-2</v>
      </c>
      <c r="G19" s="3" t="str">
        <f t="shared" si="2"/>
        <v>ANT</v>
      </c>
      <c r="H19" s="4">
        <v>100</v>
      </c>
      <c r="I19" s="4">
        <v>180</v>
      </c>
    </row>
    <row r="20" spans="1:9" x14ac:dyDescent="0.2">
      <c r="A20" s="2" t="s">
        <v>6</v>
      </c>
      <c r="B20" s="7">
        <v>80</v>
      </c>
      <c r="C20" s="8">
        <f>B20/Foglio1!$B$2</f>
        <v>0.8</v>
      </c>
      <c r="D20" s="7">
        <v>24</v>
      </c>
      <c r="E20" s="8">
        <f>D20/Foglio1!$B$3</f>
        <v>0.6</v>
      </c>
      <c r="F20" s="9">
        <f t="shared" si="3"/>
        <v>0.20000000000000007</v>
      </c>
      <c r="G20" s="3" t="str">
        <f t="shared" si="2"/>
        <v>ANT</v>
      </c>
      <c r="H20" s="4">
        <v>100</v>
      </c>
      <c r="I20" s="4">
        <v>190</v>
      </c>
    </row>
    <row r="21" spans="1:9" x14ac:dyDescent="0.2">
      <c r="A21" s="2" t="s">
        <v>9</v>
      </c>
      <c r="B21" s="7">
        <v>87</v>
      </c>
      <c r="C21" s="8">
        <f>B21/Foglio1!$B$2</f>
        <v>0.87</v>
      </c>
      <c r="D21" s="7">
        <v>31</v>
      </c>
      <c r="E21" s="8">
        <f>D21/Foglio1!$B$3</f>
        <v>0.77500000000000002</v>
      </c>
      <c r="F21" s="9">
        <f t="shared" si="3"/>
        <v>9.4999999999999973E-2</v>
      </c>
      <c r="G21" s="3" t="str">
        <f t="shared" si="2"/>
        <v>ANT</v>
      </c>
      <c r="H21" s="4">
        <v>100</v>
      </c>
      <c r="I21" s="4">
        <v>190</v>
      </c>
    </row>
    <row r="22" spans="1:9" x14ac:dyDescent="0.2">
      <c r="A22" s="2" t="s">
        <v>7</v>
      </c>
      <c r="B22" s="7">
        <v>71</v>
      </c>
      <c r="C22" s="8">
        <f>B22/Foglio1!$B$2</f>
        <v>0.71</v>
      </c>
      <c r="D22" s="7">
        <v>25</v>
      </c>
      <c r="E22" s="8">
        <f>D22/Foglio1!$B$3</f>
        <v>0.625</v>
      </c>
      <c r="F22" s="9">
        <f t="shared" si="3"/>
        <v>8.4999999999999964E-2</v>
      </c>
      <c r="G22" s="3" t="str">
        <f t="shared" si="2"/>
        <v>ANT</v>
      </c>
      <c r="H22" s="4">
        <v>100</v>
      </c>
      <c r="I22" s="4">
        <v>190</v>
      </c>
    </row>
    <row r="23" spans="1:9" x14ac:dyDescent="0.2">
      <c r="A23" s="2" t="s">
        <v>15</v>
      </c>
      <c r="B23" s="7">
        <v>87</v>
      </c>
      <c r="C23" s="8">
        <f>B23/Foglio1!$B$2</f>
        <v>0.87</v>
      </c>
      <c r="D23" s="7">
        <v>28</v>
      </c>
      <c r="E23" s="8">
        <f>D23/Foglio1!$B$3</f>
        <v>0.7</v>
      </c>
      <c r="F23" s="9">
        <f t="shared" si="3"/>
        <v>0.17000000000000004</v>
      </c>
      <c r="G23" s="3" t="str">
        <f t="shared" si="2"/>
        <v>ANT</v>
      </c>
      <c r="H23" s="4">
        <v>100</v>
      </c>
      <c r="I23" s="4">
        <v>190</v>
      </c>
    </row>
    <row r="24" spans="1:9" x14ac:dyDescent="0.2">
      <c r="A24" s="2" t="s">
        <v>14</v>
      </c>
      <c r="B24" s="7">
        <v>92</v>
      </c>
      <c r="C24" s="8">
        <f>B24/Foglio1!$B$2</f>
        <v>0.92</v>
      </c>
      <c r="D24" s="7">
        <v>29</v>
      </c>
      <c r="E24" s="8">
        <f>D24/Foglio1!$B$3</f>
        <v>0.72499999999999998</v>
      </c>
      <c r="F24" s="9">
        <f t="shared" si="3"/>
        <v>0.19500000000000006</v>
      </c>
      <c r="G24" s="3" t="str">
        <f t="shared" si="2"/>
        <v>ANT</v>
      </c>
      <c r="H24" s="4">
        <v>100</v>
      </c>
      <c r="I24" s="4">
        <v>190</v>
      </c>
    </row>
    <row r="25" spans="1:9" x14ac:dyDescent="0.2">
      <c r="A25" s="2" t="s">
        <v>14</v>
      </c>
      <c r="B25" s="7">
        <v>90</v>
      </c>
      <c r="C25" s="8">
        <f>B25/Foglio1!$B$2</f>
        <v>0.9</v>
      </c>
      <c r="D25" s="7">
        <v>30</v>
      </c>
      <c r="E25" s="8">
        <f>D25/Foglio1!$B$3</f>
        <v>0.75</v>
      </c>
      <c r="F25" s="9">
        <f t="shared" si="3"/>
        <v>0.15000000000000002</v>
      </c>
      <c r="G25" s="3" t="str">
        <f t="shared" si="2"/>
        <v>ANT</v>
      </c>
      <c r="H25" s="4">
        <v>100</v>
      </c>
      <c r="I25" s="4">
        <v>190</v>
      </c>
    </row>
    <row r="26" spans="1:9" x14ac:dyDescent="0.2">
      <c r="A26" s="2" t="s">
        <v>9</v>
      </c>
      <c r="B26" s="7">
        <v>82</v>
      </c>
      <c r="C26" s="8">
        <f>B26/Foglio1!$B$2</f>
        <v>0.82</v>
      </c>
      <c r="D26" s="7">
        <v>25</v>
      </c>
      <c r="E26" s="8">
        <f>D26/Foglio1!$B$3</f>
        <v>0.625</v>
      </c>
      <c r="F26" s="9">
        <f t="shared" si="3"/>
        <v>0.19499999999999995</v>
      </c>
      <c r="G26" s="3" t="str">
        <f t="shared" si="2"/>
        <v>ANT</v>
      </c>
      <c r="H26" s="4">
        <v>100</v>
      </c>
      <c r="I26" s="4">
        <v>190</v>
      </c>
    </row>
    <row r="27" spans="1:9" x14ac:dyDescent="0.2">
      <c r="A27" s="2" t="s">
        <v>14</v>
      </c>
      <c r="B27" s="7">
        <v>90</v>
      </c>
      <c r="C27" s="8">
        <f>B27/Foglio1!$B$2</f>
        <v>0.9</v>
      </c>
      <c r="D27" s="7">
        <v>26</v>
      </c>
      <c r="E27" s="8">
        <f>D27/Foglio1!$B$3</f>
        <v>0.65</v>
      </c>
      <c r="F27" s="9">
        <f t="shared" si="3"/>
        <v>0.25</v>
      </c>
      <c r="G27" s="3" t="str">
        <f t="shared" si="2"/>
        <v>ANT</v>
      </c>
      <c r="H27" s="4">
        <v>100</v>
      </c>
      <c r="I27" s="4">
        <v>190</v>
      </c>
    </row>
    <row r="28" spans="1:9" x14ac:dyDescent="0.2">
      <c r="A28" s="2" t="s">
        <v>9</v>
      </c>
      <c r="B28" s="7">
        <v>86</v>
      </c>
      <c r="C28" s="8">
        <f>B28/Foglio1!$B$2</f>
        <v>0.86</v>
      </c>
      <c r="D28" s="7">
        <v>27</v>
      </c>
      <c r="E28" s="8">
        <f>D28/Foglio1!$B$3</f>
        <v>0.67500000000000004</v>
      </c>
      <c r="F28" s="9">
        <f t="shared" si="3"/>
        <v>0.18499999999999994</v>
      </c>
      <c r="G28" s="3" t="str">
        <f t="shared" si="2"/>
        <v>ANT</v>
      </c>
      <c r="H28" s="4">
        <v>100</v>
      </c>
      <c r="I28" s="4">
        <v>190</v>
      </c>
    </row>
    <row r="29" spans="1:9" x14ac:dyDescent="0.2">
      <c r="A29" s="2" t="s">
        <v>6</v>
      </c>
      <c r="B29" s="7">
        <v>92</v>
      </c>
      <c r="C29" s="8">
        <f>B29/Foglio1!$B$2</f>
        <v>0.92</v>
      </c>
      <c r="D29" s="7">
        <v>32</v>
      </c>
      <c r="E29" s="8">
        <f>D29/Foglio1!$B$3</f>
        <v>0.8</v>
      </c>
      <c r="F29" s="9">
        <f t="shared" si="3"/>
        <v>0.12</v>
      </c>
      <c r="G29" s="3" t="str">
        <f t="shared" si="2"/>
        <v>ANT</v>
      </c>
      <c r="H29" s="4">
        <v>100</v>
      </c>
      <c r="I29" s="4">
        <v>190</v>
      </c>
    </row>
    <row r="30" spans="1:9" x14ac:dyDescent="0.2">
      <c r="A30" s="2" t="s">
        <v>7</v>
      </c>
      <c r="B30" s="7">
        <v>68</v>
      </c>
      <c r="C30" s="8">
        <f>B30/Foglio1!$B$2</f>
        <v>0.68</v>
      </c>
      <c r="D30" s="7">
        <v>22</v>
      </c>
      <c r="E30" s="8">
        <f>D30/Foglio1!$B$3</f>
        <v>0.55000000000000004</v>
      </c>
      <c r="F30" s="9">
        <f t="shared" si="3"/>
        <v>0.13</v>
      </c>
      <c r="G30" s="3" t="str">
        <f t="shared" si="2"/>
        <v>ANT</v>
      </c>
      <c r="H30" s="4">
        <v>100</v>
      </c>
      <c r="I30" s="4">
        <v>190</v>
      </c>
    </row>
    <row r="31" spans="1:9" x14ac:dyDescent="0.2">
      <c r="A31" s="2" t="s">
        <v>13</v>
      </c>
      <c r="B31" s="7">
        <v>66</v>
      </c>
      <c r="C31" s="8">
        <f>B31/Foglio1!$B$2</f>
        <v>0.66</v>
      </c>
      <c r="D31" s="7">
        <v>25</v>
      </c>
      <c r="E31" s="8">
        <f>D31/Foglio1!$B$3</f>
        <v>0.625</v>
      </c>
      <c r="F31" s="9">
        <f t="shared" si="3"/>
        <v>3.5000000000000031E-2</v>
      </c>
      <c r="G31" s="3" t="str">
        <f t="shared" si="2"/>
        <v>ANT</v>
      </c>
      <c r="H31" s="4">
        <v>100</v>
      </c>
      <c r="I31" s="4">
        <v>190</v>
      </c>
    </row>
    <row r="32" spans="1:9" x14ac:dyDescent="0.2">
      <c r="A32" s="2" t="s">
        <v>15</v>
      </c>
      <c r="B32" s="7">
        <v>98</v>
      </c>
      <c r="C32" s="8">
        <f>B32/Foglio1!$B$2</f>
        <v>0.98</v>
      </c>
      <c r="D32" s="7">
        <v>32</v>
      </c>
      <c r="E32" s="8">
        <f>D32/Foglio1!$B$3</f>
        <v>0.8</v>
      </c>
      <c r="F32" s="9">
        <f t="shared" si="3"/>
        <v>0.17999999999999994</v>
      </c>
      <c r="G32" s="3" t="str">
        <f t="shared" si="2"/>
        <v>ANT</v>
      </c>
      <c r="H32" s="4">
        <v>100</v>
      </c>
      <c r="I32" s="4">
        <v>190</v>
      </c>
    </row>
    <row r="33" spans="1:9" x14ac:dyDescent="0.2">
      <c r="A33" s="2" t="s">
        <v>14</v>
      </c>
      <c r="B33" s="7">
        <v>93</v>
      </c>
      <c r="C33" s="8">
        <f>B33/Foglio1!$B$2</f>
        <v>0.93</v>
      </c>
      <c r="D33" s="7">
        <v>29</v>
      </c>
      <c r="E33" s="8">
        <f>D33/Foglio1!$B$3</f>
        <v>0.72499999999999998</v>
      </c>
      <c r="F33" s="9">
        <f t="shared" si="3"/>
        <v>0.20500000000000007</v>
      </c>
      <c r="G33" s="3" t="str">
        <f t="shared" si="2"/>
        <v>ANT</v>
      </c>
      <c r="H33" s="4">
        <v>100</v>
      </c>
      <c r="I33" s="4">
        <v>190</v>
      </c>
    </row>
    <row r="34" spans="1:9" x14ac:dyDescent="0.2">
      <c r="A34" s="2" t="s">
        <v>14</v>
      </c>
      <c r="B34" s="7">
        <v>93</v>
      </c>
      <c r="C34" s="8">
        <f>B34/Foglio1!$B$2</f>
        <v>0.93</v>
      </c>
      <c r="D34" s="7">
        <v>27</v>
      </c>
      <c r="E34" s="8">
        <f>D34/Foglio1!$B$3</f>
        <v>0.67500000000000004</v>
      </c>
      <c r="F34" s="9">
        <f t="shared" si="3"/>
        <v>0.255</v>
      </c>
      <c r="G34" s="3" t="str">
        <f t="shared" si="2"/>
        <v>ANT</v>
      </c>
      <c r="H34" s="4">
        <v>100</v>
      </c>
      <c r="I34" s="4">
        <v>190</v>
      </c>
    </row>
    <row r="35" spans="1:9" x14ac:dyDescent="0.2">
      <c r="A35" s="2" t="s">
        <v>7</v>
      </c>
      <c r="B35" s="7">
        <v>73</v>
      </c>
      <c r="C35" s="8">
        <f>B35/Foglio1!$B$2</f>
        <v>0.73</v>
      </c>
      <c r="D35" s="7">
        <v>21</v>
      </c>
      <c r="E35" s="8">
        <f>D35/Foglio1!$B$3</f>
        <v>0.52500000000000002</v>
      </c>
      <c r="F35" s="9">
        <f t="shared" si="3"/>
        <v>0.20499999999999996</v>
      </c>
      <c r="G35" s="3" t="str">
        <f t="shared" si="2"/>
        <v>ANT</v>
      </c>
      <c r="H35" s="4">
        <v>100</v>
      </c>
      <c r="I35" s="4">
        <v>190</v>
      </c>
    </row>
    <row r="36" spans="1:9" x14ac:dyDescent="0.2">
      <c r="A36" s="2" t="s">
        <v>7</v>
      </c>
      <c r="B36" s="7">
        <v>58</v>
      </c>
      <c r="C36" s="8">
        <f>B36/Foglio1!$B$2</f>
        <v>0.57999999999999996</v>
      </c>
      <c r="D36" s="7">
        <v>25</v>
      </c>
      <c r="E36" s="8">
        <f>D36/Foglio1!$B$3</f>
        <v>0.625</v>
      </c>
      <c r="F36" s="9">
        <f t="shared" si="3"/>
        <v>-4.500000000000004E-2</v>
      </c>
      <c r="G36" s="3" t="str">
        <f t="shared" si="2"/>
        <v>POST</v>
      </c>
      <c r="H36" s="6">
        <v>100</v>
      </c>
      <c r="I36" s="6">
        <v>180</v>
      </c>
    </row>
    <row r="37" spans="1:9" x14ac:dyDescent="0.2">
      <c r="A37" s="2" t="s">
        <v>7</v>
      </c>
      <c r="B37" s="7">
        <v>66</v>
      </c>
      <c r="C37" s="8">
        <f>B37/Foglio1!$B$2</f>
        <v>0.66</v>
      </c>
      <c r="D37" s="7">
        <v>25</v>
      </c>
      <c r="E37" s="8">
        <f>D37/Foglio1!$B$3</f>
        <v>0.625</v>
      </c>
      <c r="F37" s="9">
        <f t="shared" si="3"/>
        <v>3.5000000000000031E-2</v>
      </c>
      <c r="G37" s="3" t="str">
        <f t="shared" si="2"/>
        <v>ANT</v>
      </c>
      <c r="H37" s="6">
        <v>100</v>
      </c>
      <c r="I37" s="6">
        <v>180</v>
      </c>
    </row>
    <row r="38" spans="1:9" x14ac:dyDescent="0.2">
      <c r="A38" s="2" t="s">
        <v>6</v>
      </c>
      <c r="B38" s="7">
        <v>81</v>
      </c>
      <c r="C38" s="8">
        <f>B38/Foglio1!$B$2</f>
        <v>0.81</v>
      </c>
      <c r="D38" s="7">
        <v>30</v>
      </c>
      <c r="E38" s="8">
        <f>D38/Foglio1!$B$3</f>
        <v>0.75</v>
      </c>
      <c r="F38" s="9">
        <f t="shared" ref="F38:F69" si="4">C38-E38</f>
        <v>6.0000000000000053E-2</v>
      </c>
      <c r="G38" s="3" t="str">
        <f t="shared" si="2"/>
        <v>ANT</v>
      </c>
      <c r="H38" s="6">
        <v>100</v>
      </c>
      <c r="I38" s="6">
        <v>180</v>
      </c>
    </row>
    <row r="39" spans="1:9" x14ac:dyDescent="0.2">
      <c r="A39" s="2" t="s">
        <v>6</v>
      </c>
      <c r="B39" s="7">
        <v>90</v>
      </c>
      <c r="C39" s="8">
        <f>B39/Foglio1!$B$2</f>
        <v>0.9</v>
      </c>
      <c r="D39" s="7">
        <v>31</v>
      </c>
      <c r="E39" s="8">
        <f>D39/Foglio1!$B$3</f>
        <v>0.77500000000000002</v>
      </c>
      <c r="F39" s="9">
        <f t="shared" si="4"/>
        <v>0.125</v>
      </c>
      <c r="G39" s="3" t="str">
        <f t="shared" si="2"/>
        <v>ANT</v>
      </c>
      <c r="H39" s="4">
        <v>100</v>
      </c>
      <c r="I39" s="4">
        <v>190</v>
      </c>
    </row>
    <row r="40" spans="1:9" x14ac:dyDescent="0.2">
      <c r="A40" s="2" t="s">
        <v>7</v>
      </c>
      <c r="B40" s="7">
        <v>60</v>
      </c>
      <c r="C40" s="8">
        <f>B40/Foglio1!$B$2</f>
        <v>0.6</v>
      </c>
      <c r="D40" s="7">
        <v>25.5</v>
      </c>
      <c r="E40" s="8">
        <f>D40/Foglio1!$B$3</f>
        <v>0.63749999999999996</v>
      </c>
      <c r="F40" s="9">
        <f t="shared" si="4"/>
        <v>-3.7499999999999978E-2</v>
      </c>
      <c r="G40" s="3" t="str">
        <f t="shared" si="2"/>
        <v>POST</v>
      </c>
      <c r="H40" s="4">
        <v>100</v>
      </c>
      <c r="I40" s="4">
        <v>190</v>
      </c>
    </row>
    <row r="41" spans="1:9" x14ac:dyDescent="0.2">
      <c r="A41" s="2" t="s">
        <v>6</v>
      </c>
      <c r="B41" s="7">
        <v>91</v>
      </c>
      <c r="C41" s="8">
        <f>B41/Foglio1!$B$2</f>
        <v>0.91</v>
      </c>
      <c r="D41" s="7">
        <v>26</v>
      </c>
      <c r="E41" s="8">
        <f>D41/Foglio1!$B$3</f>
        <v>0.65</v>
      </c>
      <c r="F41" s="9">
        <f t="shared" si="4"/>
        <v>0.26</v>
      </c>
      <c r="G41" s="3" t="str">
        <f t="shared" si="2"/>
        <v>ANT</v>
      </c>
      <c r="H41" s="4">
        <v>100</v>
      </c>
      <c r="I41" s="4">
        <v>190</v>
      </c>
    </row>
    <row r="42" spans="1:9" x14ac:dyDescent="0.2">
      <c r="A42" s="2" t="s">
        <v>14</v>
      </c>
      <c r="B42" s="7">
        <v>98</v>
      </c>
      <c r="C42" s="8">
        <f>B42/Foglio1!$B$2</f>
        <v>0.98</v>
      </c>
      <c r="D42" s="7">
        <v>31</v>
      </c>
      <c r="E42" s="8">
        <f>D42/Foglio1!$B$3</f>
        <v>0.77500000000000002</v>
      </c>
      <c r="F42" s="9">
        <f t="shared" si="4"/>
        <v>0.20499999999999996</v>
      </c>
      <c r="G42" s="3" t="str">
        <f t="shared" si="2"/>
        <v>ANT</v>
      </c>
      <c r="H42" s="4">
        <v>100</v>
      </c>
      <c r="I42" s="4">
        <v>190</v>
      </c>
    </row>
    <row r="43" spans="1:9" x14ac:dyDescent="0.2">
      <c r="A43" s="2" t="s">
        <v>6</v>
      </c>
      <c r="B43" s="7">
        <v>88</v>
      </c>
      <c r="C43" s="8">
        <f>B43/Foglio1!$B$2</f>
        <v>0.88</v>
      </c>
      <c r="D43" s="7">
        <v>30</v>
      </c>
      <c r="E43" s="8">
        <f>D43/Foglio1!$B$3</f>
        <v>0.75</v>
      </c>
      <c r="F43" s="9">
        <f t="shared" si="4"/>
        <v>0.13</v>
      </c>
      <c r="G43" s="3" t="str">
        <f t="shared" si="2"/>
        <v>ANT</v>
      </c>
      <c r="H43" s="4">
        <v>100</v>
      </c>
      <c r="I43" s="4">
        <v>190</v>
      </c>
    </row>
    <row r="44" spans="1:9" x14ac:dyDescent="0.2">
      <c r="A44" s="2" t="s">
        <v>14</v>
      </c>
      <c r="B44" s="7">
        <v>89</v>
      </c>
      <c r="C44" s="8">
        <f>B44/Foglio1!$B$2</f>
        <v>0.89</v>
      </c>
      <c r="D44" s="7">
        <v>29</v>
      </c>
      <c r="E44" s="8">
        <f>D44/Foglio1!$B$3</f>
        <v>0.72499999999999998</v>
      </c>
      <c r="F44" s="9">
        <f t="shared" si="4"/>
        <v>0.16500000000000004</v>
      </c>
      <c r="G44" s="3" t="str">
        <f t="shared" si="2"/>
        <v>ANT</v>
      </c>
      <c r="H44" s="4">
        <v>100</v>
      </c>
      <c r="I44" s="4">
        <v>190</v>
      </c>
    </row>
    <row r="45" spans="1:9" x14ac:dyDescent="0.2">
      <c r="A45" s="2" t="s">
        <v>6</v>
      </c>
      <c r="B45" s="7">
        <v>93</v>
      </c>
      <c r="C45" s="8">
        <f>B45/Foglio1!$B$2</f>
        <v>0.93</v>
      </c>
      <c r="D45" s="7">
        <v>28</v>
      </c>
      <c r="E45" s="8">
        <f>D45/Foglio1!$B$3</f>
        <v>0.7</v>
      </c>
      <c r="F45" s="9">
        <f t="shared" si="4"/>
        <v>0.23000000000000009</v>
      </c>
      <c r="G45" s="3" t="str">
        <f t="shared" si="2"/>
        <v>ANT</v>
      </c>
      <c r="H45" s="4">
        <v>80</v>
      </c>
      <c r="I45" s="4">
        <v>180</v>
      </c>
    </row>
    <row r="46" spans="1:9" x14ac:dyDescent="0.2">
      <c r="A46" s="2" t="s">
        <v>7</v>
      </c>
      <c r="B46" s="7">
        <v>63</v>
      </c>
      <c r="C46" s="8">
        <f>B46/Foglio1!$B$2</f>
        <v>0.63</v>
      </c>
      <c r="D46" s="7">
        <v>24</v>
      </c>
      <c r="E46" s="8">
        <f>D46/Foglio1!$B$3</f>
        <v>0.6</v>
      </c>
      <c r="F46" s="9">
        <f t="shared" si="4"/>
        <v>3.0000000000000027E-2</v>
      </c>
      <c r="G46" s="3" t="str">
        <f t="shared" si="2"/>
        <v>ANT</v>
      </c>
      <c r="H46" s="4">
        <v>100</v>
      </c>
      <c r="I46" s="4">
        <v>190</v>
      </c>
    </row>
    <row r="47" spans="1:9" x14ac:dyDescent="0.2">
      <c r="A47" s="2"/>
      <c r="B47" s="7"/>
      <c r="C47" s="8">
        <f>B47/Foglio1!$B$2</f>
        <v>0</v>
      </c>
      <c r="D47" s="7"/>
      <c r="E47" s="8">
        <f>D47/Foglio1!$B$3</f>
        <v>0</v>
      </c>
      <c r="F47" s="9">
        <f t="shared" si="4"/>
        <v>0</v>
      </c>
      <c r="G47" s="3" t="str">
        <f t="shared" si="2"/>
        <v>OK</v>
      </c>
      <c r="H47" s="4"/>
      <c r="I47" s="4"/>
    </row>
    <row r="48" spans="1:9" x14ac:dyDescent="0.2">
      <c r="A48" s="2"/>
      <c r="B48" s="7"/>
      <c r="C48" s="8">
        <f>B48/Foglio1!$B$2</f>
        <v>0</v>
      </c>
      <c r="D48" s="7"/>
      <c r="E48" s="8">
        <f>D48/Foglio1!$B$3</f>
        <v>0</v>
      </c>
      <c r="F48" s="9">
        <f t="shared" si="4"/>
        <v>0</v>
      </c>
      <c r="G48" s="3" t="str">
        <f t="shared" si="2"/>
        <v>OK</v>
      </c>
      <c r="H48" s="4"/>
      <c r="I48" s="4"/>
    </row>
    <row r="49" spans="1:9" x14ac:dyDescent="0.2">
      <c r="A49" s="2"/>
      <c r="B49" s="7"/>
      <c r="C49" s="8">
        <f>B49/Foglio1!$B$2</f>
        <v>0</v>
      </c>
      <c r="D49" s="7"/>
      <c r="E49" s="8">
        <f>D49/Foglio1!$B$3</f>
        <v>0</v>
      </c>
      <c r="F49" s="9">
        <f t="shared" si="4"/>
        <v>0</v>
      </c>
      <c r="G49" s="3" t="str">
        <f t="shared" si="2"/>
        <v>OK</v>
      </c>
      <c r="H49" s="4"/>
      <c r="I49" s="4"/>
    </row>
    <row r="50" spans="1:9" x14ac:dyDescent="0.2">
      <c r="A50" s="2"/>
      <c r="B50" s="7"/>
      <c r="C50" s="8">
        <f>B50/Foglio1!$B$2</f>
        <v>0</v>
      </c>
      <c r="D50" s="7"/>
      <c r="E50" s="8">
        <f>D50/Foglio1!$B$3</f>
        <v>0</v>
      </c>
      <c r="F50" s="9">
        <f t="shared" si="4"/>
        <v>0</v>
      </c>
      <c r="G50" s="3" t="str">
        <f t="shared" si="2"/>
        <v>OK</v>
      </c>
      <c r="H50" s="4"/>
      <c r="I50" s="4"/>
    </row>
    <row r="51" spans="1:9" x14ac:dyDescent="0.2">
      <c r="A51" s="2"/>
      <c r="B51" s="7"/>
      <c r="C51" s="8">
        <f>B51/Foglio1!$B$2</f>
        <v>0</v>
      </c>
      <c r="D51" s="7"/>
      <c r="E51" s="8">
        <f>D51/Foglio1!$B$3</f>
        <v>0</v>
      </c>
      <c r="F51" s="9">
        <f t="shared" si="4"/>
        <v>0</v>
      </c>
      <c r="G51" s="3" t="str">
        <f t="shared" si="2"/>
        <v>OK</v>
      </c>
      <c r="H51" s="4"/>
      <c r="I51" s="4"/>
    </row>
    <row r="52" spans="1:9" x14ac:dyDescent="0.2">
      <c r="A52" s="2"/>
      <c r="B52" s="7"/>
      <c r="C52" s="8">
        <f>B52/Foglio1!$B$2</f>
        <v>0</v>
      </c>
      <c r="D52" s="7"/>
      <c r="E52" s="8">
        <f>D52/Foglio1!$B$3</f>
        <v>0</v>
      </c>
      <c r="F52" s="9">
        <f t="shared" si="4"/>
        <v>0</v>
      </c>
      <c r="G52" s="3" t="str">
        <f t="shared" si="2"/>
        <v>OK</v>
      </c>
      <c r="H52" s="4"/>
      <c r="I52" s="4"/>
    </row>
    <row r="53" spans="1:9" x14ac:dyDescent="0.2">
      <c r="A53" s="2"/>
      <c r="B53" s="7"/>
      <c r="C53" s="8">
        <f>B53/Foglio1!$B$2</f>
        <v>0</v>
      </c>
      <c r="D53" s="7"/>
      <c r="E53" s="8">
        <f>D53/Foglio1!$B$3</f>
        <v>0</v>
      </c>
      <c r="F53" s="9">
        <f t="shared" si="4"/>
        <v>0</v>
      </c>
      <c r="G53" s="3" t="str">
        <f t="shared" si="2"/>
        <v>OK</v>
      </c>
      <c r="H53" s="4"/>
      <c r="I53" s="4"/>
    </row>
    <row r="54" spans="1:9" x14ac:dyDescent="0.2">
      <c r="A54" s="2"/>
      <c r="B54" s="7"/>
      <c r="C54" s="8">
        <f>B54/Foglio1!$B$2</f>
        <v>0</v>
      </c>
      <c r="D54" s="7"/>
      <c r="E54" s="8">
        <f>D54/Foglio1!$B$3</f>
        <v>0</v>
      </c>
      <c r="F54" s="9">
        <f t="shared" si="4"/>
        <v>0</v>
      </c>
      <c r="G54" s="3" t="str">
        <f t="shared" si="2"/>
        <v>OK</v>
      </c>
      <c r="H54" s="4"/>
      <c r="I54" s="4"/>
    </row>
    <row r="55" spans="1:9" x14ac:dyDescent="0.2">
      <c r="A55" s="2"/>
      <c r="B55" s="7"/>
      <c r="C55" s="8">
        <f>B55/Foglio1!$B$2</f>
        <v>0</v>
      </c>
      <c r="D55" s="7"/>
      <c r="E55" s="8">
        <f>D55/Foglio1!$B$3</f>
        <v>0</v>
      </c>
      <c r="F55" s="9">
        <f t="shared" si="4"/>
        <v>0</v>
      </c>
      <c r="G55" s="3" t="str">
        <f t="shared" si="2"/>
        <v>OK</v>
      </c>
      <c r="H55" s="4"/>
      <c r="I55" s="4"/>
    </row>
    <row r="56" spans="1:9" x14ac:dyDescent="0.2">
      <c r="A56" s="2"/>
      <c r="B56" s="7"/>
      <c r="C56" s="8">
        <f>B56/Foglio1!$B$2</f>
        <v>0</v>
      </c>
      <c r="D56" s="7"/>
      <c r="E56" s="8">
        <f>D56/Foglio1!$B$3</f>
        <v>0</v>
      </c>
      <c r="F56" s="9">
        <f t="shared" si="4"/>
        <v>0</v>
      </c>
      <c r="G56" s="3" t="str">
        <f t="shared" si="2"/>
        <v>OK</v>
      </c>
      <c r="H56" s="4"/>
      <c r="I56" s="4"/>
    </row>
    <row r="57" spans="1:9" x14ac:dyDescent="0.2">
      <c r="A57" s="2"/>
      <c r="B57" s="7"/>
      <c r="C57" s="8">
        <f>B57/Foglio1!$B$2</f>
        <v>0</v>
      </c>
      <c r="D57" s="7"/>
      <c r="E57" s="8">
        <f>D57/Foglio1!$B$3</f>
        <v>0</v>
      </c>
      <c r="F57" s="9">
        <f t="shared" si="4"/>
        <v>0</v>
      </c>
      <c r="G57" s="3" t="str">
        <f t="shared" si="2"/>
        <v>OK</v>
      </c>
      <c r="H57" s="4"/>
      <c r="I57" s="4"/>
    </row>
    <row r="58" spans="1:9" x14ac:dyDescent="0.2">
      <c r="A58" s="2"/>
      <c r="B58" s="7"/>
      <c r="C58" s="8">
        <f>B58/Foglio1!$B$2</f>
        <v>0</v>
      </c>
      <c r="D58" s="7"/>
      <c r="E58" s="8">
        <f>D58/Foglio1!$B$3</f>
        <v>0</v>
      </c>
      <c r="F58" s="9">
        <f t="shared" si="4"/>
        <v>0</v>
      </c>
      <c r="G58" s="3" t="str">
        <f t="shared" si="2"/>
        <v>OK</v>
      </c>
      <c r="H58" s="4"/>
      <c r="I58" s="4"/>
    </row>
    <row r="59" spans="1:9" x14ac:dyDescent="0.2">
      <c r="A59" s="2"/>
      <c r="B59" s="7"/>
      <c r="C59" s="8">
        <f>B59/Foglio1!$B$2</f>
        <v>0</v>
      </c>
      <c r="D59" s="7"/>
      <c r="E59" s="8">
        <f>D59/Foglio1!$B$3</f>
        <v>0</v>
      </c>
      <c r="F59" s="9">
        <f t="shared" si="4"/>
        <v>0</v>
      </c>
      <c r="G59" s="3" t="str">
        <f t="shared" si="2"/>
        <v>OK</v>
      </c>
      <c r="H59" s="4"/>
      <c r="I59" s="4"/>
    </row>
    <row r="60" spans="1:9" x14ac:dyDescent="0.2">
      <c r="A60" s="2"/>
      <c r="B60" s="7"/>
      <c r="C60" s="8">
        <f>B60/Foglio1!$B$2</f>
        <v>0</v>
      </c>
      <c r="D60" s="7"/>
      <c r="E60" s="8">
        <f>D60/Foglio1!$B$3</f>
        <v>0</v>
      </c>
      <c r="F60" s="9">
        <f t="shared" si="4"/>
        <v>0</v>
      </c>
      <c r="G60" s="3" t="str">
        <f t="shared" si="2"/>
        <v>OK</v>
      </c>
      <c r="H60" s="4"/>
      <c r="I60" s="4"/>
    </row>
    <row r="61" spans="1:9" x14ac:dyDescent="0.2">
      <c r="A61" s="2"/>
      <c r="B61" s="7"/>
      <c r="C61" s="8">
        <f>B61/Foglio1!$B$2</f>
        <v>0</v>
      </c>
      <c r="D61" s="7"/>
      <c r="E61" s="8">
        <f>D61/Foglio1!$B$3</f>
        <v>0</v>
      </c>
      <c r="F61" s="9">
        <f t="shared" si="4"/>
        <v>0</v>
      </c>
      <c r="G61" s="3" t="str">
        <f t="shared" si="2"/>
        <v>OK</v>
      </c>
      <c r="H61" s="4"/>
      <c r="I61" s="4"/>
    </row>
    <row r="62" spans="1:9" x14ac:dyDescent="0.2">
      <c r="A62" s="2"/>
      <c r="B62" s="7"/>
      <c r="C62" s="8">
        <f>B62/Foglio1!$B$2</f>
        <v>0</v>
      </c>
      <c r="D62" s="7"/>
      <c r="E62" s="8">
        <f>D62/Foglio1!$B$3</f>
        <v>0</v>
      </c>
      <c r="F62" s="9">
        <f t="shared" si="4"/>
        <v>0</v>
      </c>
      <c r="G62" s="3" t="str">
        <f t="shared" si="2"/>
        <v>OK</v>
      </c>
      <c r="H62" s="4"/>
      <c r="I62" s="4"/>
    </row>
    <row r="63" spans="1:9" x14ac:dyDescent="0.2">
      <c r="A63" s="2"/>
      <c r="B63" s="7"/>
      <c r="C63" s="8">
        <f>B63/Foglio1!$B$2</f>
        <v>0</v>
      </c>
      <c r="D63" s="7"/>
      <c r="E63" s="8">
        <f>D63/Foglio1!$B$3</f>
        <v>0</v>
      </c>
      <c r="F63" s="9">
        <f t="shared" si="4"/>
        <v>0</v>
      </c>
      <c r="G63" s="3" t="str">
        <f t="shared" si="2"/>
        <v>OK</v>
      </c>
      <c r="H63" s="4"/>
      <c r="I63" s="4"/>
    </row>
    <row r="64" spans="1:9" x14ac:dyDescent="0.2">
      <c r="A64" s="2"/>
      <c r="B64" s="7"/>
      <c r="C64" s="8">
        <f>B64/Foglio1!$B$2</f>
        <v>0</v>
      </c>
      <c r="D64" s="7"/>
      <c r="E64" s="8">
        <f>D64/Foglio1!$B$3</f>
        <v>0</v>
      </c>
      <c r="F64" s="9">
        <f t="shared" si="4"/>
        <v>0</v>
      </c>
      <c r="G64" s="3" t="str">
        <f t="shared" si="2"/>
        <v>OK</v>
      </c>
      <c r="H64" s="4"/>
      <c r="I64" s="4"/>
    </row>
    <row r="65" spans="1:9" x14ac:dyDescent="0.2">
      <c r="A65" s="2"/>
      <c r="B65" s="7"/>
      <c r="C65" s="8">
        <f>B65/Foglio1!$B$2</f>
        <v>0</v>
      </c>
      <c r="D65" s="7"/>
      <c r="E65" s="8">
        <f>D65/Foglio1!$B$3</f>
        <v>0</v>
      </c>
      <c r="F65" s="9">
        <f t="shared" si="4"/>
        <v>0</v>
      </c>
      <c r="G65" s="3" t="str">
        <f t="shared" si="2"/>
        <v>OK</v>
      </c>
      <c r="H65" s="4"/>
      <c r="I65" s="4"/>
    </row>
    <row r="66" spans="1:9" x14ac:dyDescent="0.2">
      <c r="A66" s="2"/>
      <c r="B66" s="7"/>
      <c r="C66" s="8">
        <f>B66/Foglio1!$B$2</f>
        <v>0</v>
      </c>
      <c r="D66" s="7"/>
      <c r="E66" s="8">
        <f>D66/Foglio1!$B$3</f>
        <v>0</v>
      </c>
      <c r="F66" s="9">
        <f t="shared" si="4"/>
        <v>0</v>
      </c>
      <c r="G66" s="3" t="str">
        <f t="shared" si="2"/>
        <v>OK</v>
      </c>
      <c r="H66" s="4"/>
      <c r="I66" s="4"/>
    </row>
    <row r="67" spans="1:9" x14ac:dyDescent="0.2">
      <c r="A67" s="2"/>
      <c r="B67" s="7"/>
      <c r="C67" s="8">
        <f>B67/Foglio1!$B$2</f>
        <v>0</v>
      </c>
      <c r="D67" s="7"/>
      <c r="E67" s="8">
        <f>D67/Foglio1!$B$3</f>
        <v>0</v>
      </c>
      <c r="F67" s="9">
        <f t="shared" si="4"/>
        <v>0</v>
      </c>
      <c r="G67" s="3" t="str">
        <f t="shared" si="2"/>
        <v>OK</v>
      </c>
      <c r="H67" s="4"/>
      <c r="I67" s="4"/>
    </row>
    <row r="68" spans="1:9" x14ac:dyDescent="0.2">
      <c r="A68" s="2"/>
      <c r="B68" s="7"/>
      <c r="C68" s="8">
        <f>B68/Foglio1!$B$2</f>
        <v>0</v>
      </c>
      <c r="D68" s="7"/>
      <c r="E68" s="8">
        <f>D68/Foglio1!$B$3</f>
        <v>0</v>
      </c>
      <c r="F68" s="9">
        <f t="shared" si="4"/>
        <v>0</v>
      </c>
      <c r="G68" s="3" t="str">
        <f t="shared" ref="G68:G101" si="5">IF(F68&lt;0,"POST",IF(F68=0,"OK",IF(F68&gt;0,"ANT")))</f>
        <v>OK</v>
      </c>
      <c r="H68" s="4"/>
      <c r="I68" s="4"/>
    </row>
    <row r="69" spans="1:9" x14ac:dyDescent="0.2">
      <c r="A69" s="2"/>
      <c r="B69" s="7"/>
      <c r="C69" s="8">
        <f>B69/Foglio1!$B$2</f>
        <v>0</v>
      </c>
      <c r="D69" s="7"/>
      <c r="E69" s="8">
        <f>D69/Foglio1!$B$3</f>
        <v>0</v>
      </c>
      <c r="F69" s="9">
        <f t="shared" si="4"/>
        <v>0</v>
      </c>
      <c r="G69" s="3" t="str">
        <f t="shared" si="5"/>
        <v>OK</v>
      </c>
      <c r="H69" s="4"/>
      <c r="I69" s="4"/>
    </row>
    <row r="70" spans="1:9" x14ac:dyDescent="0.2">
      <c r="A70" s="2"/>
      <c r="B70" s="7"/>
      <c r="C70" s="8">
        <f>B70/Foglio1!$B$2</f>
        <v>0</v>
      </c>
      <c r="D70" s="7"/>
      <c r="E70" s="8">
        <f>D70/Foglio1!$B$3</f>
        <v>0</v>
      </c>
      <c r="F70" s="9">
        <f t="shared" ref="F70:F101" si="6">C70-E70</f>
        <v>0</v>
      </c>
      <c r="G70" s="3" t="str">
        <f t="shared" si="5"/>
        <v>OK</v>
      </c>
      <c r="H70" s="4"/>
      <c r="I70" s="4"/>
    </row>
    <row r="71" spans="1:9" x14ac:dyDescent="0.2">
      <c r="A71" s="2"/>
      <c r="B71" s="7"/>
      <c r="C71" s="8">
        <f>B71/Foglio1!$B$2</f>
        <v>0</v>
      </c>
      <c r="D71" s="7"/>
      <c r="E71" s="8">
        <f>D71/Foglio1!$B$3</f>
        <v>0</v>
      </c>
      <c r="F71" s="9">
        <f t="shared" si="6"/>
        <v>0</v>
      </c>
      <c r="G71" s="3" t="str">
        <f t="shared" si="5"/>
        <v>OK</v>
      </c>
      <c r="H71" s="4"/>
      <c r="I71" s="4"/>
    </row>
    <row r="72" spans="1:9" x14ac:dyDescent="0.2">
      <c r="A72" s="2"/>
      <c r="B72" s="7"/>
      <c r="C72" s="8">
        <f>B72/Foglio1!$B$2</f>
        <v>0</v>
      </c>
      <c r="D72" s="7"/>
      <c r="E72" s="8">
        <f>D72/Foglio1!$B$3</f>
        <v>0</v>
      </c>
      <c r="F72" s="9">
        <f t="shared" si="6"/>
        <v>0</v>
      </c>
      <c r="G72" s="3" t="str">
        <f t="shared" si="5"/>
        <v>OK</v>
      </c>
      <c r="H72" s="4"/>
      <c r="I72" s="4"/>
    </row>
    <row r="73" spans="1:9" x14ac:dyDescent="0.2">
      <c r="A73" s="2"/>
      <c r="B73" s="7"/>
      <c r="C73" s="8">
        <f>B73/Foglio1!$B$2</f>
        <v>0</v>
      </c>
      <c r="D73" s="7"/>
      <c r="E73" s="8">
        <f>D73/Foglio1!$B$3</f>
        <v>0</v>
      </c>
      <c r="F73" s="9">
        <f t="shared" si="6"/>
        <v>0</v>
      </c>
      <c r="G73" s="3" t="str">
        <f t="shared" si="5"/>
        <v>OK</v>
      </c>
      <c r="H73" s="4"/>
      <c r="I73" s="4"/>
    </row>
    <row r="74" spans="1:9" x14ac:dyDescent="0.2">
      <c r="A74" s="2"/>
      <c r="B74" s="7"/>
      <c r="C74" s="8">
        <f>B74/Foglio1!$B$2</f>
        <v>0</v>
      </c>
      <c r="D74" s="7"/>
      <c r="E74" s="8">
        <f>D74/Foglio1!$B$3</f>
        <v>0</v>
      </c>
      <c r="F74" s="9">
        <f t="shared" si="6"/>
        <v>0</v>
      </c>
      <c r="G74" s="3" t="str">
        <f t="shared" si="5"/>
        <v>OK</v>
      </c>
      <c r="H74" s="4"/>
      <c r="I74" s="4"/>
    </row>
    <row r="75" spans="1:9" x14ac:dyDescent="0.2">
      <c r="A75" s="2"/>
      <c r="B75" s="7"/>
      <c r="C75" s="8">
        <f>B75/Foglio1!$B$2</f>
        <v>0</v>
      </c>
      <c r="D75" s="7"/>
      <c r="E75" s="8">
        <f>D75/Foglio1!$B$3</f>
        <v>0</v>
      </c>
      <c r="F75" s="9">
        <f t="shared" si="6"/>
        <v>0</v>
      </c>
      <c r="G75" s="3" t="str">
        <f t="shared" si="5"/>
        <v>OK</v>
      </c>
      <c r="H75" s="4"/>
      <c r="I75" s="4"/>
    </row>
    <row r="76" spans="1:9" x14ac:dyDescent="0.2">
      <c r="A76" s="2"/>
      <c r="B76" s="7"/>
      <c r="C76" s="8">
        <f>B76/Foglio1!$B$2</f>
        <v>0</v>
      </c>
      <c r="D76" s="7"/>
      <c r="E76" s="8">
        <f>D76/Foglio1!$B$3</f>
        <v>0</v>
      </c>
      <c r="F76" s="9">
        <f t="shared" si="6"/>
        <v>0</v>
      </c>
      <c r="G76" s="3" t="str">
        <f t="shared" si="5"/>
        <v>OK</v>
      </c>
      <c r="H76" s="4"/>
      <c r="I76" s="4"/>
    </row>
    <row r="77" spans="1:9" x14ac:dyDescent="0.2">
      <c r="A77" s="2"/>
      <c r="B77" s="7"/>
      <c r="C77" s="8">
        <f>B77/Foglio1!$B$2</f>
        <v>0</v>
      </c>
      <c r="D77" s="7"/>
      <c r="E77" s="8">
        <f>D77/Foglio1!$B$3</f>
        <v>0</v>
      </c>
      <c r="F77" s="9">
        <f t="shared" si="6"/>
        <v>0</v>
      </c>
      <c r="G77" s="3" t="str">
        <f t="shared" si="5"/>
        <v>OK</v>
      </c>
      <c r="H77" s="4"/>
      <c r="I77" s="4"/>
    </row>
    <row r="78" spans="1:9" x14ac:dyDescent="0.2">
      <c r="A78" s="2"/>
      <c r="B78" s="7"/>
      <c r="C78" s="8">
        <f>B78/Foglio1!$B$2</f>
        <v>0</v>
      </c>
      <c r="D78" s="7"/>
      <c r="E78" s="8">
        <f>D78/Foglio1!$B$3</f>
        <v>0</v>
      </c>
      <c r="F78" s="9">
        <f t="shared" si="6"/>
        <v>0</v>
      </c>
      <c r="G78" s="3" t="str">
        <f t="shared" si="5"/>
        <v>OK</v>
      </c>
      <c r="H78" s="4"/>
      <c r="I78" s="4"/>
    </row>
    <row r="79" spans="1:9" x14ac:dyDescent="0.2">
      <c r="A79" s="2"/>
      <c r="B79" s="7"/>
      <c r="C79" s="8">
        <f>B79/Foglio1!$B$2</f>
        <v>0</v>
      </c>
      <c r="D79" s="7"/>
      <c r="E79" s="8">
        <f>D79/Foglio1!$B$3</f>
        <v>0</v>
      </c>
      <c r="F79" s="9">
        <f t="shared" si="6"/>
        <v>0</v>
      </c>
      <c r="G79" s="3" t="str">
        <f t="shared" si="5"/>
        <v>OK</v>
      </c>
      <c r="H79" s="4"/>
      <c r="I79" s="4"/>
    </row>
    <row r="80" spans="1:9" x14ac:dyDescent="0.2">
      <c r="A80" s="2"/>
      <c r="B80" s="7"/>
      <c r="C80" s="8">
        <f>B80/Foglio1!$B$2</f>
        <v>0</v>
      </c>
      <c r="D80" s="7"/>
      <c r="E80" s="8">
        <f>D80/Foglio1!$B$3</f>
        <v>0</v>
      </c>
      <c r="F80" s="9">
        <f t="shared" si="6"/>
        <v>0</v>
      </c>
      <c r="G80" s="3" t="str">
        <f t="shared" si="5"/>
        <v>OK</v>
      </c>
      <c r="H80" s="4"/>
      <c r="I80" s="4"/>
    </row>
    <row r="81" spans="1:9" x14ac:dyDescent="0.2">
      <c r="A81" s="2"/>
      <c r="B81" s="7"/>
      <c r="C81" s="8">
        <f>B81/Foglio1!$B$2</f>
        <v>0</v>
      </c>
      <c r="D81" s="7"/>
      <c r="E81" s="8">
        <f>D81/Foglio1!$B$3</f>
        <v>0</v>
      </c>
      <c r="F81" s="9">
        <f t="shared" si="6"/>
        <v>0</v>
      </c>
      <c r="G81" s="3" t="str">
        <f t="shared" si="5"/>
        <v>OK</v>
      </c>
      <c r="H81" s="4"/>
      <c r="I81" s="4"/>
    </row>
    <row r="82" spans="1:9" x14ac:dyDescent="0.2">
      <c r="A82" s="2"/>
      <c r="B82" s="7"/>
      <c r="C82" s="8">
        <f>B82/Foglio1!$B$2</f>
        <v>0</v>
      </c>
      <c r="D82" s="7"/>
      <c r="E82" s="8">
        <f>D82/Foglio1!$B$3</f>
        <v>0</v>
      </c>
      <c r="F82" s="9">
        <f t="shared" si="6"/>
        <v>0</v>
      </c>
      <c r="G82" s="3" t="str">
        <f t="shared" si="5"/>
        <v>OK</v>
      </c>
      <c r="H82" s="4"/>
      <c r="I82" s="4"/>
    </row>
    <row r="83" spans="1:9" x14ac:dyDescent="0.2">
      <c r="A83" s="2"/>
      <c r="B83" s="7"/>
      <c r="C83" s="8">
        <f>B83/Foglio1!$B$2</f>
        <v>0</v>
      </c>
      <c r="D83" s="7"/>
      <c r="E83" s="8">
        <f>D83/Foglio1!$B$3</f>
        <v>0</v>
      </c>
      <c r="F83" s="9">
        <f t="shared" si="6"/>
        <v>0</v>
      </c>
      <c r="G83" s="3" t="str">
        <f t="shared" si="5"/>
        <v>OK</v>
      </c>
      <c r="H83" s="4"/>
      <c r="I83" s="4"/>
    </row>
    <row r="84" spans="1:9" x14ac:dyDescent="0.2">
      <c r="A84" s="2"/>
      <c r="B84" s="7"/>
      <c r="C84" s="8">
        <f>B84/Foglio1!$B$2</f>
        <v>0</v>
      </c>
      <c r="D84" s="7"/>
      <c r="E84" s="8">
        <f>D84/Foglio1!$B$3</f>
        <v>0</v>
      </c>
      <c r="F84" s="9">
        <f t="shared" si="6"/>
        <v>0</v>
      </c>
      <c r="G84" s="3" t="str">
        <f t="shared" si="5"/>
        <v>OK</v>
      </c>
      <c r="H84" s="4"/>
      <c r="I84" s="4"/>
    </row>
    <row r="85" spans="1:9" x14ac:dyDescent="0.2">
      <c r="A85" s="2"/>
      <c r="B85" s="7"/>
      <c r="C85" s="8">
        <f>B85/Foglio1!$B$2</f>
        <v>0</v>
      </c>
      <c r="D85" s="7"/>
      <c r="E85" s="8">
        <f>D85/Foglio1!$B$3</f>
        <v>0</v>
      </c>
      <c r="F85" s="9">
        <f t="shared" si="6"/>
        <v>0</v>
      </c>
      <c r="G85" s="3" t="str">
        <f t="shared" si="5"/>
        <v>OK</v>
      </c>
      <c r="H85" s="4"/>
      <c r="I85" s="4"/>
    </row>
    <row r="86" spans="1:9" x14ac:dyDescent="0.2">
      <c r="A86" s="2"/>
      <c r="B86" s="7"/>
      <c r="C86" s="8">
        <f>B86/Foglio1!$B$2</f>
        <v>0</v>
      </c>
      <c r="D86" s="7"/>
      <c r="E86" s="8">
        <f>D86/Foglio1!$B$3</f>
        <v>0</v>
      </c>
      <c r="F86" s="9">
        <f t="shared" si="6"/>
        <v>0</v>
      </c>
      <c r="G86" s="3" t="str">
        <f t="shared" si="5"/>
        <v>OK</v>
      </c>
      <c r="H86" s="4"/>
      <c r="I86" s="4"/>
    </row>
    <row r="87" spans="1:9" x14ac:dyDescent="0.2">
      <c r="A87" s="2"/>
      <c r="B87" s="7"/>
      <c r="C87" s="8">
        <f>B87/Foglio1!$B$2</f>
        <v>0</v>
      </c>
      <c r="D87" s="7"/>
      <c r="E87" s="8">
        <f>D87/Foglio1!$B$3</f>
        <v>0</v>
      </c>
      <c r="F87" s="9">
        <f t="shared" si="6"/>
        <v>0</v>
      </c>
      <c r="G87" s="3" t="str">
        <f t="shared" si="5"/>
        <v>OK</v>
      </c>
      <c r="H87" s="4"/>
      <c r="I87" s="4"/>
    </row>
    <row r="88" spans="1:9" x14ac:dyDescent="0.2">
      <c r="A88" s="2"/>
      <c r="B88" s="7"/>
      <c r="C88" s="8">
        <f>B88/Foglio1!$B$2</f>
        <v>0</v>
      </c>
      <c r="D88" s="7"/>
      <c r="E88" s="8">
        <f>D88/Foglio1!$B$3</f>
        <v>0</v>
      </c>
      <c r="F88" s="9">
        <f t="shared" si="6"/>
        <v>0</v>
      </c>
      <c r="G88" s="3" t="str">
        <f t="shared" si="5"/>
        <v>OK</v>
      </c>
      <c r="H88" s="4"/>
      <c r="I88" s="4"/>
    </row>
    <row r="89" spans="1:9" x14ac:dyDescent="0.2">
      <c r="A89" s="2"/>
      <c r="B89" s="7"/>
      <c r="C89" s="8">
        <f>B89/Foglio1!$B$2</f>
        <v>0</v>
      </c>
      <c r="D89" s="7"/>
      <c r="E89" s="8">
        <f>D89/Foglio1!$B$3</f>
        <v>0</v>
      </c>
      <c r="F89" s="9">
        <f t="shared" si="6"/>
        <v>0</v>
      </c>
      <c r="G89" s="3" t="str">
        <f t="shared" si="5"/>
        <v>OK</v>
      </c>
      <c r="H89" s="4"/>
      <c r="I89" s="4"/>
    </row>
    <row r="90" spans="1:9" x14ac:dyDescent="0.2">
      <c r="A90" s="2"/>
      <c r="B90" s="7"/>
      <c r="C90" s="8">
        <f>B90/Foglio1!$B$2</f>
        <v>0</v>
      </c>
      <c r="D90" s="7"/>
      <c r="E90" s="8">
        <f>D90/Foglio1!$B$3</f>
        <v>0</v>
      </c>
      <c r="F90" s="9">
        <f t="shared" si="6"/>
        <v>0</v>
      </c>
      <c r="G90" s="3" t="str">
        <f t="shared" si="5"/>
        <v>OK</v>
      </c>
      <c r="H90" s="4"/>
      <c r="I90" s="4"/>
    </row>
    <row r="91" spans="1:9" x14ac:dyDescent="0.2">
      <c r="A91" s="2"/>
      <c r="B91" s="7"/>
      <c r="C91" s="8">
        <f>B91/Foglio1!$B$2</f>
        <v>0</v>
      </c>
      <c r="D91" s="7"/>
      <c r="E91" s="8">
        <f>D91/Foglio1!$B$3</f>
        <v>0</v>
      </c>
      <c r="F91" s="9">
        <f t="shared" si="6"/>
        <v>0</v>
      </c>
      <c r="G91" s="3" t="str">
        <f t="shared" si="5"/>
        <v>OK</v>
      </c>
      <c r="H91" s="4"/>
      <c r="I91" s="4"/>
    </row>
    <row r="92" spans="1:9" x14ac:dyDescent="0.2">
      <c r="A92" s="2"/>
      <c r="B92" s="7"/>
      <c r="C92" s="8">
        <f>B92/Foglio1!$B$2</f>
        <v>0</v>
      </c>
      <c r="D92" s="7"/>
      <c r="E92" s="8">
        <f>D92/Foglio1!$B$3</f>
        <v>0</v>
      </c>
      <c r="F92" s="9">
        <f t="shared" si="6"/>
        <v>0</v>
      </c>
      <c r="G92" s="3" t="str">
        <f t="shared" si="5"/>
        <v>OK</v>
      </c>
      <c r="H92" s="4"/>
      <c r="I92" s="4"/>
    </row>
    <row r="93" spans="1:9" x14ac:dyDescent="0.2">
      <c r="A93" s="2"/>
      <c r="B93" s="7"/>
      <c r="C93" s="8">
        <f>B93/Foglio1!$B$2</f>
        <v>0</v>
      </c>
      <c r="D93" s="7"/>
      <c r="E93" s="8">
        <f>D93/Foglio1!$B$3</f>
        <v>0</v>
      </c>
      <c r="F93" s="9">
        <f t="shared" si="6"/>
        <v>0</v>
      </c>
      <c r="G93" s="3" t="str">
        <f t="shared" si="5"/>
        <v>OK</v>
      </c>
      <c r="H93" s="4"/>
      <c r="I93" s="4"/>
    </row>
    <row r="94" spans="1:9" x14ac:dyDescent="0.2">
      <c r="A94" s="2"/>
      <c r="B94" s="7"/>
      <c r="C94" s="8">
        <f>B94/Foglio1!$B$2</f>
        <v>0</v>
      </c>
      <c r="D94" s="7"/>
      <c r="E94" s="8">
        <f>D94/Foglio1!$B$3</f>
        <v>0</v>
      </c>
      <c r="F94" s="9">
        <f t="shared" si="6"/>
        <v>0</v>
      </c>
      <c r="G94" s="3" t="str">
        <f t="shared" si="5"/>
        <v>OK</v>
      </c>
      <c r="H94" s="4"/>
      <c r="I94" s="4"/>
    </row>
    <row r="95" spans="1:9" x14ac:dyDescent="0.2">
      <c r="A95" s="2"/>
      <c r="B95" s="7"/>
      <c r="C95" s="8">
        <f>B95/Foglio1!$B$2</f>
        <v>0</v>
      </c>
      <c r="D95" s="7"/>
      <c r="E95" s="8">
        <f>D95/Foglio1!$B$3</f>
        <v>0</v>
      </c>
      <c r="F95" s="9">
        <f t="shared" si="6"/>
        <v>0</v>
      </c>
      <c r="G95" s="3" t="str">
        <f t="shared" si="5"/>
        <v>OK</v>
      </c>
      <c r="H95" s="4"/>
      <c r="I95" s="4"/>
    </row>
    <row r="96" spans="1:9" x14ac:dyDescent="0.2">
      <c r="A96" s="2"/>
      <c r="B96" s="7"/>
      <c r="C96" s="8">
        <f>B96/Foglio1!$B$2</f>
        <v>0</v>
      </c>
      <c r="D96" s="7"/>
      <c r="E96" s="8">
        <f>D96/Foglio1!$B$3</f>
        <v>0</v>
      </c>
      <c r="F96" s="9">
        <f t="shared" si="6"/>
        <v>0</v>
      </c>
      <c r="G96" s="3" t="str">
        <f t="shared" si="5"/>
        <v>OK</v>
      </c>
      <c r="H96" s="4"/>
      <c r="I96" s="4"/>
    </row>
    <row r="97" spans="1:9" x14ac:dyDescent="0.2">
      <c r="A97" s="2"/>
      <c r="B97" s="7"/>
      <c r="C97" s="8">
        <f>B97/Foglio1!$B$2</f>
        <v>0</v>
      </c>
      <c r="D97" s="7"/>
      <c r="E97" s="8">
        <f>D97/Foglio1!$B$3</f>
        <v>0</v>
      </c>
      <c r="F97" s="9">
        <f t="shared" si="6"/>
        <v>0</v>
      </c>
      <c r="G97" s="3" t="str">
        <f t="shared" si="5"/>
        <v>OK</v>
      </c>
      <c r="H97" s="4"/>
      <c r="I97" s="4"/>
    </row>
    <row r="98" spans="1:9" x14ac:dyDescent="0.2">
      <c r="A98" s="2"/>
      <c r="B98" s="7"/>
      <c r="C98" s="8">
        <f>B98/Foglio1!$B$2</f>
        <v>0</v>
      </c>
      <c r="D98" s="7"/>
      <c r="E98" s="8">
        <f>D98/Foglio1!$B$3</f>
        <v>0</v>
      </c>
      <c r="F98" s="9">
        <f t="shared" si="6"/>
        <v>0</v>
      </c>
      <c r="G98" s="3" t="str">
        <f t="shared" si="5"/>
        <v>OK</v>
      </c>
      <c r="H98" s="4"/>
      <c r="I98" s="4"/>
    </row>
    <row r="99" spans="1:9" x14ac:dyDescent="0.2">
      <c r="A99" s="2"/>
      <c r="B99" s="7"/>
      <c r="C99" s="8">
        <f>B99/Foglio1!$B$2</f>
        <v>0</v>
      </c>
      <c r="D99" s="7"/>
      <c r="E99" s="8">
        <f>D99/Foglio1!$B$3</f>
        <v>0</v>
      </c>
      <c r="F99" s="9">
        <f t="shared" si="6"/>
        <v>0</v>
      </c>
      <c r="G99" s="3" t="str">
        <f t="shared" si="5"/>
        <v>OK</v>
      </c>
      <c r="H99" s="4"/>
      <c r="I99" s="4"/>
    </row>
    <row r="100" spans="1:9" x14ac:dyDescent="0.2">
      <c r="A100" s="2"/>
      <c r="B100" s="7"/>
      <c r="C100" s="8">
        <f>B100/Foglio1!$B$2</f>
        <v>0</v>
      </c>
      <c r="D100" s="7"/>
      <c r="E100" s="8">
        <f>D100/Foglio1!$B$3</f>
        <v>0</v>
      </c>
      <c r="F100" s="9">
        <f t="shared" si="6"/>
        <v>0</v>
      </c>
      <c r="G100" s="3" t="str">
        <f t="shared" si="5"/>
        <v>OK</v>
      </c>
      <c r="H100" s="4"/>
      <c r="I100" s="4"/>
    </row>
    <row r="101" spans="1:9" x14ac:dyDescent="0.2">
      <c r="A101" s="2"/>
      <c r="B101" s="7"/>
      <c r="C101" s="8">
        <f>B101/Foglio1!$B$2</f>
        <v>0</v>
      </c>
      <c r="D101" s="7"/>
      <c r="E101" s="8">
        <f>D101/Foglio1!$B$3</f>
        <v>0</v>
      </c>
      <c r="F101" s="9">
        <f t="shared" si="6"/>
        <v>0</v>
      </c>
      <c r="G101" s="3" t="str">
        <f t="shared" si="5"/>
        <v>OK</v>
      </c>
      <c r="H101" s="4"/>
      <c r="I101" s="4"/>
    </row>
  </sheetData>
  <sheetProtection sheet="1" formatCells="0" formatColumns="0" formatRows="0" insertColumns="0" insertRows="0" insertHyperlinks="0" deleteColumns="0" deleteRows="0" pivotTables="0"/>
  <autoFilter ref="A1:I101" xr:uid="{5DF4FBCB-6BD7-4A9C-9742-DC8032ED773B}"/>
  <conditionalFormatting sqref="F2:F101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dataValidations count="4">
    <dataValidation type="whole" allowBlank="1" showInputMessage="1" showErrorMessage="1" sqref="B2:B39" xr:uid="{ED9E8BDA-4395-4CBA-8EA1-9D8F396573BC}">
      <formula1>0</formula1>
      <formula2>100</formula2>
    </dataValidation>
    <dataValidation type="whole" allowBlank="1" showInputMessage="1" showErrorMessage="1" sqref="D2:D39" xr:uid="{C473C81C-D730-4782-909A-5C6FB29D0FD6}">
      <formula1>0</formula1>
      <formula2>40</formula2>
    </dataValidation>
    <dataValidation type="decimal" allowBlank="1" showInputMessage="1" showErrorMessage="1" sqref="B40:B101" xr:uid="{858E4943-664B-4192-8323-3432AEEF357F}">
      <formula1>0</formula1>
      <formula2>100</formula2>
    </dataValidation>
    <dataValidation type="decimal" allowBlank="1" showInputMessage="1" showErrorMessage="1" sqref="D40:D101" xr:uid="{A0576043-95FE-4ADB-9A1B-09116B963651}">
      <formula1>0</formula1>
      <formula2>40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6343E5-4F0F-4045-8FDA-425437592117}">
          <x14:formula1>
            <xm:f>Foglio1!$E$2:$E$11</xm:f>
          </x14:formula1>
          <xm:sqref>A2:A101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0B8A-608B-4FFC-96F7-346AEA0F73CE}">
  <dimension ref="A1:E7"/>
  <sheetViews>
    <sheetView workbookViewId="0">
      <selection activeCell="C4" sqref="C4"/>
    </sheetView>
  </sheetViews>
  <sheetFormatPr defaultRowHeight="15" x14ac:dyDescent="0.2"/>
  <sheetData>
    <row r="1" spans="1:5" x14ac:dyDescent="0.2">
      <c r="B1" t="s">
        <v>3</v>
      </c>
      <c r="C1" t="s">
        <v>16</v>
      </c>
      <c r="E1" t="s">
        <v>8</v>
      </c>
    </row>
    <row r="2" spans="1:5" x14ac:dyDescent="0.2">
      <c r="A2" t="s">
        <v>1</v>
      </c>
      <c r="B2">
        <v>100</v>
      </c>
      <c r="C2">
        <v>100</v>
      </c>
      <c r="E2" t="s">
        <v>7</v>
      </c>
    </row>
    <row r="3" spans="1:5" x14ac:dyDescent="0.2">
      <c r="A3" t="s">
        <v>2</v>
      </c>
      <c r="B3">
        <v>40</v>
      </c>
      <c r="C3">
        <v>190</v>
      </c>
      <c r="E3" t="s">
        <v>14</v>
      </c>
    </row>
    <row r="4" spans="1:5" x14ac:dyDescent="0.2">
      <c r="E4" t="s">
        <v>15</v>
      </c>
    </row>
    <row r="5" spans="1:5" x14ac:dyDescent="0.2">
      <c r="E5" t="s">
        <v>6</v>
      </c>
    </row>
    <row r="6" spans="1:5" x14ac:dyDescent="0.2">
      <c r="E6" t="s">
        <v>13</v>
      </c>
    </row>
    <row r="7" spans="1:5" x14ac:dyDescent="0.2">
      <c r="E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120 - 210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Ferri</dc:creator>
  <cp:lastModifiedBy>Carlo Ferri</cp:lastModifiedBy>
  <dcterms:created xsi:type="dcterms:W3CDTF">2025-01-10T14:49:28Z</dcterms:created>
  <dcterms:modified xsi:type="dcterms:W3CDTF">2026-02-13T17:10:43Z</dcterms:modified>
</cp:coreProperties>
</file>